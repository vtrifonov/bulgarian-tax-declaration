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итежания" state="visible" r:id="rId4"/>
    <sheet sheetId="2" name="Продажби" state="visible" r:id="rId5"/>
    <sheet sheetId="3" name="Дивиденти" state="visible" r:id="rId6"/>
    <sheet sheetId="4" name="IB Stock Yield" state="visible" r:id="rId7"/>
    <sheet sheetId="5" name="Revolut Лихви GBP" state="visible" r:id="rId8"/>
    <sheet sheetId="6" name="Revolut Лихви EUR" state="visible" r:id="rId9"/>
    <sheet sheetId="7" name="E TRADE Лихви USD" state="visible" r:id="rId10"/>
    <sheet sheetId="8" name="IB Лихви USD" state="visible" r:id="rId11"/>
    <sheet sheetId="9" name="СПБ-8 Сметки" state="visible" r:id="rId12"/>
    <sheet sheetId="10" name="СПБ-8 Ценни Книжа" state="visible" r:id="rId13"/>
    <sheet sheetId="11" name="GBP" state="visible" r:id="rId14"/>
    <sheet sheetId="12" name="HKD" state="visible" r:id="rId15"/>
    <sheet sheetId="13" name="USD" state="visible" r:id="rId16"/>
  </sheets>
  <calcPr calcId="171027"/>
</workbook>
</file>

<file path=xl/sharedStrings.xml><?xml version="1.0" encoding="utf-8"?>
<sst xmlns="http://schemas.openxmlformats.org/spreadsheetml/2006/main" count="1825" uniqueCount="479">
  <si>
    <t>Брокер</t>
  </si>
  <si>
    <t>Символ</t>
  </si>
  <si>
    <t>Държава</t>
  </si>
  <si>
    <t>Дата на придобиване</t>
  </si>
  <si>
    <t>Количество</t>
  </si>
  <si>
    <t>Валута</t>
  </si>
  <si>
    <t>Цена</t>
  </si>
  <si>
    <t>Общо</t>
  </si>
  <si>
    <t>Курс за деня</t>
  </si>
  <si>
    <t>Общо (BGN)</t>
  </si>
  <si>
    <t>Бележки</t>
  </si>
  <si>
    <t>Продадено чрез</t>
  </si>
  <si>
    <t>IB</t>
  </si>
  <si>
    <t>GOOG</t>
  </si>
  <si>
    <t>САЩ</t>
  </si>
  <si>
    <t>2024-02-05</t>
  </si>
  <si>
    <t>USD</t>
  </si>
  <si>
    <t/>
  </si>
  <si>
    <t>1</t>
  </si>
  <si>
    <t>ASML</t>
  </si>
  <si>
    <t>Нидерландия (Холандия)</t>
  </si>
  <si>
    <t>2024-01-14</t>
  </si>
  <si>
    <t>EUR</t>
  </si>
  <si>
    <t>Elana</t>
  </si>
  <si>
    <t>MONB</t>
  </si>
  <si>
    <t>България</t>
  </si>
  <si>
    <t>2021-03-08</t>
  </si>
  <si>
    <t>BGN</t>
  </si>
  <si>
    <t>MSFT</t>
  </si>
  <si>
    <t>2024-06-15</t>
  </si>
  <si>
    <t>DAL</t>
  </si>
  <si>
    <t>2024-08-30</t>
  </si>
  <si>
    <t>RIO</t>
  </si>
  <si>
    <t>Великобритания</t>
  </si>
  <si>
    <t>Revolut</t>
  </si>
  <si>
    <t>AAPL</t>
  </si>
  <si>
    <t>AMZN</t>
  </si>
  <si>
    <t>2024-03-20</t>
  </si>
  <si>
    <t>2</t>
  </si>
  <si>
    <t>2025-02-05</t>
  </si>
  <si>
    <t>2025-01-14</t>
  </si>
  <si>
    <t>2025-05-07</t>
  </si>
  <si>
    <t>GBP</t>
  </si>
  <si>
    <t>1810</t>
  </si>
  <si>
    <t>Хонконг</t>
  </si>
  <si>
    <t>2025-06-11</t>
  </si>
  <si>
    <t>HKD</t>
  </si>
  <si>
    <t>2025-01-15</t>
  </si>
  <si>
    <t>COIN</t>
  </si>
  <si>
    <t>2025-04-03</t>
  </si>
  <si>
    <t>E*TRADE</t>
  </si>
  <si>
    <t>Дата покупка</t>
  </si>
  <si>
    <t>Дата продажба</t>
  </si>
  <si>
    <t>Кол.</t>
  </si>
  <si>
    <t>Цена покупка</t>
  </si>
  <si>
    <t>Цена продажба</t>
  </si>
  <si>
    <t>Курс покупка</t>
  </si>
  <si>
    <t>Курс продажба</t>
  </si>
  <si>
    <t>Приходи (BGN)</t>
  </si>
  <si>
    <t>Разходи (BGN)</t>
  </si>
  <si>
    <t>Печалба/Загуба (BGN)</t>
  </si>
  <si>
    <t>2025-08-20</t>
  </si>
  <si>
    <t>2025-10-08</t>
  </si>
  <si>
    <t>SAP</t>
  </si>
  <si>
    <t>Германия</t>
  </si>
  <si>
    <t>2025-11-12</t>
  </si>
  <si>
    <t>Дата</t>
  </si>
  <si>
    <t>Брутен размер</t>
  </si>
  <si>
    <t>WHT</t>
  </si>
  <si>
    <t>Валутен курс</t>
  </si>
  <si>
    <t>Брутно (BGN)</t>
  </si>
  <si>
    <t>Удържан данък (BGN)</t>
  </si>
  <si>
    <t>Данък 5% (BGN)</t>
  </si>
  <si>
    <t>Дължим данък (BGN)</t>
  </si>
  <si>
    <t>2025-06-20</t>
  </si>
  <si>
    <t>2025-03-15</t>
  </si>
  <si>
    <t>2025-06-15</t>
  </si>
  <si>
    <t>2025-09-15</t>
  </si>
  <si>
    <t>2025-12-15</t>
  </si>
  <si>
    <t>2025-05-08</t>
  </si>
  <si>
    <t>2025-08-07</t>
  </si>
  <si>
    <t>2025-11-06</t>
  </si>
  <si>
    <t>2025-04-23</t>
  </si>
  <si>
    <t>2025-10-22</t>
  </si>
  <si>
    <t>2025-03-14</t>
  </si>
  <si>
    <t>2025-06-13</t>
  </si>
  <si>
    <t>2025-09-12</t>
  </si>
  <si>
    <t>2025-04-17</t>
  </si>
  <si>
    <t>2025-09-11</t>
  </si>
  <si>
    <t>2025-07-15</t>
  </si>
  <si>
    <t>Размер</t>
  </si>
  <si>
    <t>Курс</t>
  </si>
  <si>
    <t>Размер (база)</t>
  </si>
  <si>
    <t>2025-03-16</t>
  </si>
  <si>
    <t>2025-03-17</t>
  </si>
  <si>
    <t>2025-06-21</t>
  </si>
  <si>
    <t>2025-02-10</t>
  </si>
  <si>
    <t>2025-02-11</t>
  </si>
  <si>
    <t>Описание</t>
  </si>
  <si>
    <t>Сума</t>
  </si>
  <si>
    <t>Сума (BGN)</t>
  </si>
  <si>
    <t>2025-12-31</t>
  </si>
  <si>
    <t>Interest PAID</t>
  </si>
  <si>
    <t>Service Fee Charged</t>
  </si>
  <si>
    <t>2025-12-30</t>
  </si>
  <si>
    <t>2025-12-29</t>
  </si>
  <si>
    <t>2025-12-28</t>
  </si>
  <si>
    <t>2025-12-01</t>
  </si>
  <si>
    <t>2025-11-30</t>
  </si>
  <si>
    <t>2025-11-15</t>
  </si>
  <si>
    <t>2025-11-01</t>
  </si>
  <si>
    <t>2025-10-31</t>
  </si>
  <si>
    <t>2025-10-15</t>
  </si>
  <si>
    <t>2025-10-01</t>
  </si>
  <si>
    <t>2025-09-30</t>
  </si>
  <si>
    <t>2025-09-01</t>
  </si>
  <si>
    <t>2025-08-31</t>
  </si>
  <si>
    <t>2025-08-15</t>
  </si>
  <si>
    <t>2025-08-01</t>
  </si>
  <si>
    <t>2025-07-31</t>
  </si>
  <si>
    <t>2025-07-01</t>
  </si>
  <si>
    <t>2025-06-30</t>
  </si>
  <si>
    <t>2025-06-01</t>
  </si>
  <si>
    <t>2025-05-01</t>
  </si>
  <si>
    <t>2025-04-30</t>
  </si>
  <si>
    <t>2025-04-15</t>
  </si>
  <si>
    <t>2025-04-01</t>
  </si>
  <si>
    <t>2025-03-31</t>
  </si>
  <si>
    <t>2025-03-01</t>
  </si>
  <si>
    <t>2025-02-28</t>
  </si>
  <si>
    <t>2025-02-15</t>
  </si>
  <si>
    <t>2025-02-01</t>
  </si>
  <si>
    <t>2025-01-31</t>
  </si>
  <si>
    <t>2025-01-01</t>
  </si>
  <si>
    <t>2025-05-31</t>
  </si>
  <si>
    <t>2025-05-15</t>
  </si>
  <si>
    <t>2025-01-02</t>
  </si>
  <si>
    <t>TREASURY LIQUIDITY FUND</t>
  </si>
  <si>
    <t>2025-02-03</t>
  </si>
  <si>
    <t>2025-03-03</t>
  </si>
  <si>
    <t>2025-06-02</t>
  </si>
  <si>
    <t>2025-09-02</t>
  </si>
  <si>
    <t>2025-11-03</t>
  </si>
  <si>
    <t>2025-01-06</t>
  </si>
  <si>
    <t>USD Debit Interest for 12/2024</t>
  </si>
  <si>
    <t>USD Debit Interest for 01/2025</t>
  </si>
  <si>
    <t>2025-03-06</t>
  </si>
  <si>
    <t>USD Credit Interest for 02/2025</t>
  </si>
  <si>
    <t>2025-04-04</t>
  </si>
  <si>
    <t>USD Credit Interest for 03/2025</t>
  </si>
  <si>
    <t>2025-05-06</t>
  </si>
  <si>
    <t>USD Credit Interest for 04/2025</t>
  </si>
  <si>
    <t>2025-06-05</t>
  </si>
  <si>
    <t>USD Credit Interest for 05/2025</t>
  </si>
  <si>
    <t>2025-07-07</t>
  </si>
  <si>
    <t>USD Credit Interest for 06/2025</t>
  </si>
  <si>
    <t>2025-08-06</t>
  </si>
  <si>
    <t>USD Credit Interest for 07/2025</t>
  </si>
  <si>
    <t>2025-09-05</t>
  </si>
  <si>
    <t>USD Credit Interest for 08/2025</t>
  </si>
  <si>
    <t>2025-10-07</t>
  </si>
  <si>
    <t>USD Credit Interest for 09/2025</t>
  </si>
  <si>
    <t>USD Credit Interest for 10/2025</t>
  </si>
  <si>
    <t>2025-12-05</t>
  </si>
  <si>
    <t>USD Credit Interest for 11/2025</t>
  </si>
  <si>
    <t>Тип</t>
  </si>
  <si>
    <t>Падеж</t>
  </si>
  <si>
    <t>Начално салдо</t>
  </si>
  <si>
    <t>Крайно салдо</t>
  </si>
  <si>
    <t>Хил. нач.</t>
  </si>
  <si>
    <t>Хил. край</t>
  </si>
  <si>
    <t>Край BGN</t>
  </si>
  <si>
    <t>03</t>
  </si>
  <si>
    <t>S</t>
  </si>
  <si>
    <t>LT</t>
  </si>
  <si>
    <t>Interactive Brokers Ireland Limited</t>
  </si>
  <si>
    <t>L</t>
  </si>
  <si>
    <t>IE</t>
  </si>
  <si>
    <t>US</t>
  </si>
  <si>
    <t>Revolut Savings</t>
  </si>
  <si>
    <t>02</t>
  </si>
  <si>
    <t>ISIN</t>
  </si>
  <si>
    <t>Начало година</t>
  </si>
  <si>
    <t>Край година</t>
  </si>
  <si>
    <t>Цена 31.12</t>
  </si>
  <si>
    <t>US02079K1079</t>
  </si>
  <si>
    <t>NL0010273215</t>
  </si>
  <si>
    <t>US5949181045</t>
  </si>
  <si>
    <t>US2473617023</t>
  </si>
  <si>
    <t>US7672041008</t>
  </si>
  <si>
    <t>US0378331005</t>
  </si>
  <si>
    <t>KYG9830T1067</t>
  </si>
  <si>
    <t>US19260Q1076</t>
  </si>
  <si>
    <t>2025-01-03</t>
  </si>
  <si>
    <t>2025-01-04</t>
  </si>
  <si>
    <t>2025-01-05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</si>
  <si>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</si>
  <si>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</si>
  <si>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</si>
  <si>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</si>
  <si>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</si>
  <si>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</si>
  <si>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</si>
  <si>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</si>
  <si>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</si>
  <si>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</si>
  <si>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</si>
  <si>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</si>
  <si>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</si>
  <si>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</si>
  <si>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</si>
  <si>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</si>
  <si>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</si>
  <si>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</si>
  <si>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</si>
  <si>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</si>
  <si>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</si>
  <si>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</si>
  <si>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2025-02-02</t>
  </si>
  <si>
    <t>2025-02-04</t>
  </si>
  <si>
    <t>2025-02-06</t>
  </si>
  <si>
    <t>2025-02-07</t>
  </si>
  <si>
    <t>2025-02-08</t>
  </si>
  <si>
    <t>2025-02-09</t>
  </si>
  <si>
    <t>2025-02-12</t>
  </si>
  <si>
    <t>2025-02-13</t>
  </si>
  <si>
    <t>2025-02-14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</si>
  <si>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</si>
  <si>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</si>
  <si>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</si>
  <si>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</si>
  <si>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</si>
  <si>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</si>
  <si>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</si>
  <si>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</si>
  <si>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</si>
  <si>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</si>
  <si>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</si>
  <si>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</si>
  <si>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2025-03-02</t>
  </si>
  <si>
    <t>2025-03-04</t>
  </si>
  <si>
    <t>2025-03-05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</si>
  <si>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</si>
  <si>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</si>
  <si>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</si>
  <si>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</si>
  <si>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</si>
  <si>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</si>
  <si>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</si>
  <si>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</si>
  <si>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</si>
  <si>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</si>
  <si>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</si>
  <si>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</si>
  <si>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</si>
  <si>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</si>
  <si>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</si>
  <si>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</si>
  <si>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</si>
  <si>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</si>
  <si>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</si>
  <si>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</si>
  <si>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2025-04-02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</si>
  <si>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</si>
  <si>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</si>
  <si>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</si>
  <si>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</si>
  <si>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</si>
  <si>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</si>
  <si>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</si>
  <si>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</si>
  <si>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</si>
  <si>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</si>
  <si>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2025-04-16</t>
  </si>
  <si>
    <t>2025-04-18</t>
  </si>
  <si>
    <t>2025-04-19</t>
  </si>
  <si>
    <t>2025-04-20</t>
  </si>
  <si>
    <t>2025-04-21</t>
  </si>
  <si>
    <t>2025-04-22</t>
  </si>
  <si>
    <t>2025-04-24</t>
  </si>
  <si>
    <t>2025-04-25</t>
  </si>
  <si>
    <t>2025-04-26</t>
  </si>
  <si>
    <t>2025-04-27</t>
  </si>
  <si>
    <t>2025-04-28</t>
  </si>
  <si>
    <t>2025-04-29</t>
  </si>
  <si>
    <t>2025-05-02</t>
  </si>
  <si>
    <t>2025-05-03</t>
  </si>
  <si>
    <t>2025-05-04</t>
  </si>
  <si>
    <t>2025-05-05</t>
  </si>
  <si>
    <t>2025-05-09</t>
  </si>
  <si>
    <t>2025-05-10</t>
  </si>
  <si>
    <t>2025-05-11</t>
  </si>
  <si>
    <t>2025-05-12</t>
  </si>
  <si>
    <t>2025-05-13</t>
  </si>
  <si>
    <t>2025-05-14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</si>
  <si>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</si>
  <si>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</si>
  <si>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</si>
  <si>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</si>
  <si>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</si>
  <si>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</si>
  <si>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</si>
  <si>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</si>
  <si>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</si>
  <si>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</si>
  <si>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</si>
  <si>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</si>
  <si>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</si>
  <si>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</si>
  <si>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</si>
  <si>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</si>
  <si>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</si>
  <si>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2025-06-06</t>
  </si>
  <si>
    <t>2025-06-07</t>
  </si>
  <si>
    <t>2025-06-08</t>
  </si>
  <si>
    <t>2025-06-09</t>
  </si>
  <si>
    <t>2025-06-10</t>
  </si>
  <si>
    <t>2025-06-12</t>
  </si>
  <si>
    <t>2025-06-14</t>
  </si>
  <si>
    <t>2025-06-16</t>
  </si>
  <si>
    <t>2025-06-17</t>
  </si>
  <si>
    <t>2025-06-18</t>
  </si>
  <si>
    <t>2025-06-19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</si>
  <si>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</si>
  <si>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</si>
  <si>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</si>
  <si>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</si>
  <si>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</si>
  <si>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</si>
  <si>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</si>
  <si>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</si>
  <si>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2025-07-02</t>
  </si>
  <si>
    <t>2025-07-03</t>
  </si>
  <si>
    <t>2025-07-04</t>
  </si>
  <si>
    <t>2025-07-05</t>
  </si>
  <si>
    <t>2025-07-06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</si>
  <si>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</si>
  <si>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</si>
  <si>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</si>
  <si>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</si>
  <si>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</si>
  <si>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</si>
  <si>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</si>
  <si>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</si>
  <si>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</si>
  <si>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</si>
  <si>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</si>
  <si>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</si>
  <si>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</si>
  <si>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</si>
  <si>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</si>
  <si>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</si>
  <si>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</si>
  <si>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</si>
  <si>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</si>
  <si>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</si>
  <si>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</si>
  <si>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</si>
  <si>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2025-08-02</t>
  </si>
  <si>
    <t>2025-08-03</t>
  </si>
  <si>
    <t>2025-08-04</t>
  </si>
  <si>
    <t>2025-08-05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</si>
  <si>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</si>
  <si>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</si>
  <si>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</si>
  <si>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</si>
  <si>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</si>
  <si>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</si>
  <si>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</si>
  <si>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2025-08-16</t>
  </si>
  <si>
    <t>2025-08-17</t>
  </si>
  <si>
    <t>2025-08-18</t>
  </si>
  <si>
    <t>2025-08-19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</si>
  <si>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</si>
  <si>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</si>
  <si>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</si>
  <si>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</si>
  <si>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</si>
  <si>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</si>
  <si>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</si>
  <si>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</si>
  <si>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</si>
  <si>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</si>
  <si>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2025-09-03</t>
  </si>
  <si>
    <t>2025-09-04</t>
  </si>
  <si>
    <t>2025-09-06</t>
  </si>
  <si>
    <t>2025-09-07</t>
  </si>
  <si>
    <t>2025-09-08</t>
  </si>
  <si>
    <t>2025-09-09</t>
  </si>
  <si>
    <t>2025-09-10</t>
  </si>
  <si>
    <t>2025-09-13</t>
  </si>
  <si>
    <t>2025-09-14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</si>
  <si>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</si>
  <si>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</si>
  <si>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</si>
  <si>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</si>
  <si>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</si>
  <si>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</si>
  <si>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</si>
  <si>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</si>
  <si>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</si>
  <si>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</si>
  <si>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</si>
  <si>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</si>
  <si>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</si>
  <si>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</si>
  <si>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2025-10-02</t>
  </si>
  <si>
    <t>2025-10-03</t>
  </si>
  <si>
    <t>2025-10-04</t>
  </si>
  <si>
    <t>2025-10-05</t>
  </si>
  <si>
    <t>2025-10-06</t>
  </si>
  <si>
    <t>2025-10-09</t>
  </si>
  <si>
    <t>2025-10-10</t>
  </si>
  <si>
    <t>2025-10-11</t>
  </si>
  <si>
    <t>2025-10-12</t>
  </si>
  <si>
    <t>2025-10-13</t>
  </si>
  <si>
    <t>2025-10-14</t>
  </si>
  <si>
    <t>2025-10-16</t>
  </si>
  <si>
    <t>2025-10-17</t>
  </si>
  <si>
    <t>2025-10-18</t>
  </si>
  <si>
    <t>2025-10-19</t>
  </si>
  <si>
    <t>2025-10-20</t>
  </si>
  <si>
    <t>2025-10-21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</si>
  <si>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</si>
  <si>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</si>
  <si>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</si>
  <si>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</si>
  <si>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</si>
  <si>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</si>
  <si>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</si>
  <si>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</si>
  <si>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2025-11-02</t>
  </si>
  <si>
    <t>2025-11-04</t>
  </si>
  <si>
    <t>2025-11-05</t>
  </si>
  <si>
    <t>2025-11-07</t>
  </si>
  <si>
    <t>2025-11-08</t>
  </si>
  <si>
    <t>2025-11-09</t>
  </si>
  <si>
    <t>2025-11-10</t>
  </si>
  <si>
    <t>2025-11-11</t>
  </si>
  <si>
    <t>2025-11-13</t>
  </si>
  <si>
    <t>2025-11-14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</si>
  <si>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</si>
  <si>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</si>
  <si>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</si>
  <si>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</si>
  <si>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</si>
  <si>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</si>
  <si>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</si>
  <si>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</si>
  <si>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</si>
  <si>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</si>
  <si>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</si>
  <si>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</si>
  <si>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</si>
  <si>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</si>
  <si>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2025-12-02</t>
  </si>
  <si>
    <t>2025-12-03</t>
  </si>
  <si>
    <t>2025-12-04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</si>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</sst>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0.00000"/>
    <numFmt numFmtId="166" formatCode="#,##0.00 &quot;BGN&quot;"/>
  </numFmts>
  <fonts count="3" x14ac:knownFonts="1">
    <font>
      <color theme="1"/>
      <family val="2"/>
      <scheme val="minor"/>
      <sz val="11"/>
      <name val="Calibri"/>
    </font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FormatPr defaultRowHeight="15" outlineLevelRow="0" outlineLevelCol="0" x14ac:dyDescent="55"/>
  <cols>
    <col min="1" max="1" width="12" customWidth="1"/>
    <col min="2" max="2" width="14" customWidth="1"/>
    <col min="3" max="3" width="10" customWidth="1"/>
    <col min="4" max="5" width="12" customWidth="1"/>
    <col min="6" max="6" width="10" customWidth="1"/>
    <col min="7" max="9" width="12" customWidth="1"/>
    <col min="10" max="10" width="14" customWidth="1"/>
    <col min="11" max="11" width="20" customWidth="1"/>
    <col min="12" max="12" width="1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1" customFormat="1" x14ac:dyDescent="0.25">
      <c r="A2" s="1" t="s">
        <v>12</v>
      </c>
      <c r="B2" s="1" t="s">
        <v>13</v>
      </c>
      <c r="C2" s="1" t="s">
        <v>14</v>
      </c>
      <c r="D2" s="2" t="s">
        <v>15</v>
      </c>
      <c r="E2" s="3">
        <v>7</v>
      </c>
      <c r="F2" s="1" t="s">
        <v>16</v>
      </c>
      <c r="G2" s="4">
        <v>142.3</v>
      </c>
      <c r="H2" s="4">
        <f>ROUND(E2*G2,2)</f>
      </c>
      <c r="I2" s="5">
        <f>IFERROR(1.95583/VLOOKUP(D2,INDIRECT(F2&amp;"!A:B"),2,FALSE),"")</f>
      </c>
      <c r="J2" s="6">
        <f>ROUND(H2*I2,2)</f>
      </c>
      <c r="K2" s="1" t="s">
        <v>17</v>
      </c>
      <c r="L2" s="1" t="s">
        <v>18</v>
      </c>
    </row>
    <row r="3" spans="1:12" s="1" customFormat="1" x14ac:dyDescent="0.25">
      <c r="A3" s="1" t="s">
        <v>12</v>
      </c>
      <c r="B3" s="1" t="s">
        <v>19</v>
      </c>
      <c r="C3" s="1" t="s">
        <v>20</v>
      </c>
      <c r="D3" s="2" t="s">
        <v>21</v>
      </c>
      <c r="E3" s="3">
        <v>5</v>
      </c>
      <c r="F3" s="1" t="s">
        <v>22</v>
      </c>
      <c r="G3" s="4">
        <v>680.5</v>
      </c>
      <c r="H3" s="4">
        <f>ROUND(E3*G3,2)</f>
      </c>
      <c r="I3" s="5">
        <v>1.95583</v>
      </c>
      <c r="J3" s="6">
        <f>ROUND(H3*I3,2)</f>
      </c>
      <c r="K3" s="1" t="s">
        <v>17</v>
      </c>
      <c r="L3" s="1" t="s">
        <v>17</v>
      </c>
    </row>
    <row r="4" spans="1:12" s="1" customFormat="1" x14ac:dyDescent="0.25">
      <c r="A4" s="1" t="s">
        <v>23</v>
      </c>
      <c r="B4" s="1" t="s">
        <v>24</v>
      </c>
      <c r="C4" s="1" t="s">
        <v>25</v>
      </c>
      <c r="D4" s="2" t="s">
        <v>26</v>
      </c>
      <c r="E4" s="3">
        <v>8</v>
      </c>
      <c r="F4" s="1" t="s">
        <v>27</v>
      </c>
      <c r="G4" s="4">
        <v>7.1</v>
      </c>
      <c r="H4" s="4">
        <f>ROUND(E4*G4,2)</f>
      </c>
      <c r="I4" s="5">
        <v>1</v>
      </c>
      <c r="J4" s="6">
        <f>ROUND(H4*I4,2)</f>
      </c>
      <c r="K4" s="1" t="s">
        <v>17</v>
      </c>
      <c r="L4" s="1" t="s">
        <v>17</v>
      </c>
    </row>
    <row r="5" spans="1:12" s="1" customFormat="1" x14ac:dyDescent="0.25">
      <c r="A5" s="1" t="s">
        <v>12</v>
      </c>
      <c r="B5" s="1" t="s">
        <v>28</v>
      </c>
      <c r="C5" s="1" t="s">
        <v>14</v>
      </c>
      <c r="D5" s="2" t="s">
        <v>29</v>
      </c>
      <c r="E5" s="3">
        <v>200</v>
      </c>
      <c r="F5" s="1" t="s">
        <v>16</v>
      </c>
      <c r="G5" s="4">
        <v>413.12</v>
      </c>
      <c r="H5" s="4">
        <f>ROUND(E5*G5,2)</f>
      </c>
      <c r="I5" s="5">
        <f>IFERROR(1.95583/VLOOKUP(D5,INDIRECT(F5&amp;"!A:B"),2,FALSE),"")</f>
      </c>
      <c r="J5" s="6">
        <f>ROUND(H5*I5,2)</f>
      </c>
      <c r="K5" s="1" t="s">
        <v>17</v>
      </c>
      <c r="L5" s="1" t="s">
        <v>17</v>
      </c>
    </row>
    <row r="6" spans="1:12" s="1" customFormat="1" x14ac:dyDescent="0.25">
      <c r="A6" s="1" t="s">
        <v>12</v>
      </c>
      <c r="B6" s="1" t="s">
        <v>30</v>
      </c>
      <c r="C6" s="1" t="s">
        <v>14</v>
      </c>
      <c r="D6" s="2" t="s">
        <v>31</v>
      </c>
      <c r="E6" s="3">
        <v>400</v>
      </c>
      <c r="F6" s="1" t="s">
        <v>16</v>
      </c>
      <c r="G6" s="4">
        <v>41.56</v>
      </c>
      <c r="H6" s="4">
        <f>ROUND(E6*G6,2)</f>
      </c>
      <c r="I6" s="5">
        <f>IFERROR(1.95583/VLOOKUP(D6,INDIRECT(F6&amp;"!A:B"),2,FALSE),"")</f>
      </c>
      <c r="J6" s="6">
        <f>ROUND(H6*I6,2)</f>
      </c>
      <c r="K6" s="1" t="s">
        <v>17</v>
      </c>
      <c r="L6" s="1" t="s">
        <v>17</v>
      </c>
    </row>
    <row r="7" spans="1:12" s="1" customFormat="1" x14ac:dyDescent="0.25">
      <c r="A7" s="1" t="s">
        <v>12</v>
      </c>
      <c r="B7" s="1" t="s">
        <v>32</v>
      </c>
      <c r="C7" s="1" t="s">
        <v>33</v>
      </c>
      <c r="D7" s="2" t="s">
        <v>31</v>
      </c>
      <c r="E7" s="3">
        <v>68</v>
      </c>
      <c r="F7" s="1" t="s">
        <v>16</v>
      </c>
      <c r="G7" s="4">
        <v>63.32</v>
      </c>
      <c r="H7" s="4">
        <f>ROUND(E7*G7,2)</f>
      </c>
      <c r="I7" s="5">
        <f>IFERROR(1.95583/VLOOKUP(D7,INDIRECT(F7&amp;"!A:B"),2,FALSE),"")</f>
      </c>
      <c r="J7" s="6">
        <f>ROUND(H7*I7,2)</f>
      </c>
      <c r="K7" s="1" t="s">
        <v>17</v>
      </c>
      <c r="L7" s="1" t="s">
        <v>17</v>
      </c>
    </row>
    <row r="8" spans="1:12" s="1" customFormat="1" x14ac:dyDescent="0.25">
      <c r="A8" s="1" t="s">
        <v>34</v>
      </c>
      <c r="B8" s="1" t="s">
        <v>35</v>
      </c>
      <c r="C8" s="1" t="s">
        <v>14</v>
      </c>
      <c r="D8" s="2" t="s">
        <v>29</v>
      </c>
      <c r="E8" s="3">
        <v>0.5</v>
      </c>
      <c r="F8" s="1" t="s">
        <v>16</v>
      </c>
      <c r="G8" s="4">
        <v>210.5</v>
      </c>
      <c r="H8" s="4">
        <f>ROUND(E8*G8,2)</f>
      </c>
      <c r="I8" s="5">
        <f>IFERROR(1.95583/VLOOKUP(D8,INDIRECT(F8&amp;"!A:B"),2,FALSE),"")</f>
      </c>
      <c r="J8" s="6">
        <f>ROUND(H8*I8,2)</f>
      </c>
      <c r="K8" s="1" t="s">
        <v>17</v>
      </c>
      <c r="L8" s="1" t="s">
        <v>17</v>
      </c>
    </row>
    <row r="9" spans="1:12" s="1" customFormat="1" x14ac:dyDescent="0.25">
      <c r="A9" s="1" t="s">
        <v>12</v>
      </c>
      <c r="B9" s="1" t="s">
        <v>36</v>
      </c>
      <c r="C9" s="1" t="s">
        <v>14</v>
      </c>
      <c r="D9" s="2" t="s">
        <v>37</v>
      </c>
      <c r="E9" s="3">
        <v>0</v>
      </c>
      <c r="F9" s="1" t="s">
        <v>16</v>
      </c>
      <c r="G9" s="4">
        <v>178.9</v>
      </c>
      <c r="H9" s="4">
        <f>ROUND(E9*G9,2)</f>
      </c>
      <c r="I9" s="5">
        <f>IFERROR(1.95583/VLOOKUP(D9,INDIRECT(F9&amp;"!A:B"),2,FALSE),"")</f>
      </c>
      <c r="J9" s="6">
        <f>ROUND(H9*I9,2)</f>
      </c>
      <c r="K9" s="1" t="s">
        <v>17</v>
      </c>
      <c r="L9" s="1" t="s">
        <v>38</v>
      </c>
    </row>
    <row r="10" spans="1:12" s="1" customFormat="1" x14ac:dyDescent="0.25">
      <c r="A10" s="1" t="s">
        <v>12</v>
      </c>
      <c r="B10" s="1" t="s">
        <v>13</v>
      </c>
      <c r="C10" s="1" t="s">
        <v>14</v>
      </c>
      <c r="D10" s="2" t="s">
        <v>39</v>
      </c>
      <c r="E10" s="3">
        <v>10</v>
      </c>
      <c r="F10" s="1" t="s">
        <v>16</v>
      </c>
      <c r="G10" s="4">
        <v>142.3</v>
      </c>
      <c r="H10" s="4">
        <f>ROUND(E10*G10,2)</f>
      </c>
      <c r="I10" s="5">
        <f>IFERROR(1.95583/VLOOKUP(D10,INDIRECT(F10&amp;"!A:B"),2,FALSE),"")</f>
      </c>
      <c r="J10" s="6">
        <f>ROUND(H10*I10,2)</f>
      </c>
      <c r="K10" s="1" t="s">
        <v>17</v>
      </c>
      <c r="L10" s="1" t="s">
        <v>17</v>
      </c>
    </row>
    <row r="11" spans="1:12" s="1" customFormat="1" x14ac:dyDescent="0.25">
      <c r="A11" s="1" t="s">
        <v>12</v>
      </c>
      <c r="B11" s="1" t="s">
        <v>19</v>
      </c>
      <c r="C11" s="1" t="s">
        <v>20</v>
      </c>
      <c r="D11" s="2" t="s">
        <v>40</v>
      </c>
      <c r="E11" s="3">
        <v>5</v>
      </c>
      <c r="F11" s="1" t="s">
        <v>22</v>
      </c>
      <c r="G11" s="4">
        <v>680.5</v>
      </c>
      <c r="H11" s="4">
        <f>ROUND(E11*G11,2)</f>
      </c>
      <c r="I11" s="5">
        <v>1.95583</v>
      </c>
      <c r="J11" s="6">
        <f>ROUND(H11*I11,2)</f>
      </c>
      <c r="K11" s="1" t="s">
        <v>17</v>
      </c>
      <c r="L11" s="1" t="s">
        <v>17</v>
      </c>
    </row>
    <row r="12" spans="1:12" s="1" customFormat="1" x14ac:dyDescent="0.25">
      <c r="A12" s="1" t="s">
        <v>12</v>
      </c>
      <c r="B12" s="1" t="s">
        <v>32</v>
      </c>
      <c r="C12" s="1" t="s">
        <v>14</v>
      </c>
      <c r="D12" s="2" t="s">
        <v>41</v>
      </c>
      <c r="E12" s="3">
        <v>25</v>
      </c>
      <c r="F12" s="1" t="s">
        <v>42</v>
      </c>
      <c r="G12" s="4">
        <v>52.8</v>
      </c>
      <c r="H12" s="4">
        <f>ROUND(E12*G12,2)</f>
      </c>
      <c r="I12" s="5">
        <f>IFERROR(1.95583/VLOOKUP(D12,INDIRECT(F12&amp;"!A:B"),2,FALSE),"")</f>
      </c>
      <c r="J12" s="6">
        <f>ROUND(H12*I12,2)</f>
      </c>
      <c r="K12" s="1" t="s">
        <v>17</v>
      </c>
      <c r="L12" s="1" t="s">
        <v>17</v>
      </c>
    </row>
    <row r="13" spans="1:12" s="1" customFormat="1" x14ac:dyDescent="0.25">
      <c r="A13" s="1" t="s">
        <v>12</v>
      </c>
      <c r="B13" s="1" t="s">
        <v>43</v>
      </c>
      <c r="C13" s="1" t="s">
        <v>44</v>
      </c>
      <c r="D13" s="2" t="s">
        <v>45</v>
      </c>
      <c r="E13" s="3">
        <v>200</v>
      </c>
      <c r="F13" s="1" t="s">
        <v>46</v>
      </c>
      <c r="G13" s="4">
        <v>148</v>
      </c>
      <c r="H13" s="4">
        <f>ROUND(E13*G13,2)</f>
      </c>
      <c r="I13" s="5">
        <f>IFERROR(1.95583/VLOOKUP(D13,INDIRECT(F13&amp;"!A:B"),2,FALSE),"")</f>
      </c>
      <c r="J13" s="6">
        <f>ROUND(H13*I13,2)</f>
      </c>
      <c r="K13" s="1" t="s">
        <v>17</v>
      </c>
      <c r="L13" s="1" t="s">
        <v>17</v>
      </c>
    </row>
    <row r="14" spans="1:12" s="1" customFormat="1" x14ac:dyDescent="0.25">
      <c r="A14" s="1" t="s">
        <v>34</v>
      </c>
      <c r="B14" s="1" t="s">
        <v>13</v>
      </c>
      <c r="C14" s="1" t="s">
        <v>14</v>
      </c>
      <c r="D14" s="2" t="s">
        <v>47</v>
      </c>
      <c r="E14" s="3">
        <v>0.058464140000000005</v>
      </c>
      <c r="F14" s="1" t="s">
        <v>16</v>
      </c>
      <c r="G14" s="4">
        <v>262.38306079589984</v>
      </c>
      <c r="H14" s="4">
        <f>ROUND(E14*G14,2)</f>
      </c>
      <c r="I14" s="5">
        <f>IFERROR(1.95583/VLOOKUP(D14,INDIRECT(F14&amp;"!A:B"),2,FALSE),"")</f>
      </c>
      <c r="J14" s="6">
        <f>ROUND(H14*I14,2)</f>
      </c>
      <c r="K14" s="1" t="s">
        <v>17</v>
      </c>
      <c r="L14" s="1" t="s">
        <v>17</v>
      </c>
    </row>
    <row r="15" spans="1:12" s="1" customFormat="1" x14ac:dyDescent="0.25">
      <c r="A15" s="1" t="s">
        <v>34</v>
      </c>
      <c r="B15" s="1" t="s">
        <v>19</v>
      </c>
      <c r="C15" s="1" t="s">
        <v>20</v>
      </c>
      <c r="D15" s="2" t="s">
        <v>47</v>
      </c>
      <c r="E15" s="3">
        <v>0.00278164</v>
      </c>
      <c r="F15" s="1" t="s">
        <v>16</v>
      </c>
      <c r="G15" s="4">
        <v>719.0003019801268</v>
      </c>
      <c r="H15" s="4">
        <f>ROUND(E15*G15,2)</f>
      </c>
      <c r="I15" s="5">
        <f>IFERROR(1.95583/VLOOKUP(D15,INDIRECT(F15&amp;"!A:B"),2,FALSE),"")</f>
      </c>
      <c r="J15" s="6">
        <f>ROUND(H15*I15,2)</f>
      </c>
      <c r="K15" s="1" t="s">
        <v>17</v>
      </c>
      <c r="L15" s="1" t="s">
        <v>17</v>
      </c>
    </row>
    <row r="16" spans="1:12" s="1" customFormat="1" x14ac:dyDescent="0.25">
      <c r="A16" s="1" t="s">
        <v>34</v>
      </c>
      <c r="B16" s="1" t="s">
        <v>48</v>
      </c>
      <c r="C16" s="1" t="s">
        <v>14</v>
      </c>
      <c r="D16" s="2" t="s">
        <v>47</v>
      </c>
      <c r="E16" s="3">
        <v>0.00764921</v>
      </c>
      <c r="F16" s="1" t="s">
        <v>16</v>
      </c>
      <c r="G16" s="4">
        <v>261.46490944816526</v>
      </c>
      <c r="H16" s="4">
        <f>ROUND(E16*G16,2)</f>
      </c>
      <c r="I16" s="5">
        <f>IFERROR(1.95583/VLOOKUP(D16,INDIRECT(F16&amp;"!A:B"),2,FALSE),"")</f>
      </c>
      <c r="J16" s="6">
        <f>ROUND(H16*I16,2)</f>
      </c>
      <c r="K16" s="1" t="s">
        <v>17</v>
      </c>
      <c r="L16" s="1" t="s">
        <v>17</v>
      </c>
    </row>
    <row r="17" spans="1:12" s="1" customFormat="1" x14ac:dyDescent="0.25">
      <c r="A17" s="1" t="s">
        <v>34</v>
      </c>
      <c r="B17" s="1" t="s">
        <v>35</v>
      </c>
      <c r="C17" s="1" t="s">
        <v>14</v>
      </c>
      <c r="D17" s="2" t="s">
        <v>49</v>
      </c>
      <c r="E17" s="3">
        <v>0.04587126</v>
      </c>
      <c r="F17" s="1" t="s">
        <v>16</v>
      </c>
      <c r="G17" s="4">
        <v>218.0014239853015</v>
      </c>
      <c r="H17" s="4">
        <f>ROUND(E17*G17,2)</f>
      </c>
      <c r="I17" s="5">
        <f>IFERROR(1.95583/VLOOKUP(D17,INDIRECT(F17&amp;"!A:B"),2,FALSE),"")</f>
      </c>
      <c r="J17" s="6">
        <f>ROUND(H17*I17,2)</f>
      </c>
      <c r="K17" s="1" t="s">
        <v>17</v>
      </c>
      <c r="L17" s="1" t="s">
        <v>17</v>
      </c>
    </row>
    <row r="18" spans="1:12" s="1" customFormat="1" x14ac:dyDescent="0.25">
      <c r="A18" s="1" t="s">
        <v>50</v>
      </c>
      <c r="B18" s="1" t="s">
        <v>35</v>
      </c>
      <c r="C18" s="1" t="s">
        <v>14</v>
      </c>
      <c r="D18" s="2" t="s">
        <v>17</v>
      </c>
      <c r="E18" s="3">
        <v>1150</v>
      </c>
      <c r="F18" s="1" t="s">
        <v>16</v>
      </c>
      <c r="G18" s="4">
        <v>21.402173913043477</v>
      </c>
      <c r="H18" s="4">
        <f>ROUND(E18*G18,2)</f>
      </c>
      <c r="I18" s="5">
        <f>IFERROR(1.95583/VLOOKUP(D18,INDIRECT(F18&amp;"!A:B"),2,FALSE),"")</f>
      </c>
      <c r="J18" s="6">
        <f>ROUND(H18*I18,2)</f>
      </c>
      <c r="K18" s="1" t="s">
        <v>17</v>
      </c>
      <c r="L18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cols>
    <col min="1" max="1" width="12" customWidth="1"/>
    <col min="2" max="2" width="14" customWidth="1"/>
    <col min="3" max="3" width="10" customWidth="1"/>
    <col min="4" max="5" width="14" customWidth="1"/>
    <col min="6" max="6" width="8" customWidth="1"/>
    <col min="7" max="7" width="10" customWidth="1"/>
    <col min="8" max="14" width="12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51</v>
      </c>
      <c r="E1" s="1" t="s">
        <v>52</v>
      </c>
      <c r="F1" s="1" t="s">
        <v>53</v>
      </c>
      <c r="G1" s="1" t="s">
        <v>5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</row>
    <row r="2" spans="1:14" s="1" customFormat="1" x14ac:dyDescent="0.25">
      <c r="A2" s="1" t="s">
        <v>12</v>
      </c>
      <c r="B2" s="1" t="s">
        <v>13</v>
      </c>
      <c r="C2" s="1" t="s">
        <v>14</v>
      </c>
      <c r="D2" s="2" t="s">
        <v>15</v>
      </c>
      <c r="E2" s="2" t="s">
        <v>61</v>
      </c>
      <c r="F2" s="3">
        <v>8</v>
      </c>
      <c r="G2" s="1" t="s">
        <v>16</v>
      </c>
      <c r="H2" s="4">
        <v>142.3</v>
      </c>
      <c r="I2" s="4">
        <v>189.75</v>
      </c>
      <c r="J2" s="5"/>
      <c r="K2" s="5"/>
      <c r="L2" s="6">
        <f>ROUND(F2*I2*K2,2)</f>
      </c>
      <c r="M2" s="6">
        <f>ROUND(F2*H2*J2,2)</f>
      </c>
      <c r="N2" s="6">
        <f>ROUND(L2-M2,2)</f>
      </c>
    </row>
    <row r="3" spans="1:14" s="1" customFormat="1" x14ac:dyDescent="0.25">
      <c r="A3" s="1" t="s">
        <v>12</v>
      </c>
      <c r="B3" s="1" t="s">
        <v>36</v>
      </c>
      <c r="C3" s="1" t="s">
        <v>14</v>
      </c>
      <c r="D3" s="2" t="s">
        <v>37</v>
      </c>
      <c r="E3" s="2" t="s">
        <v>62</v>
      </c>
      <c r="F3" s="3">
        <v>20</v>
      </c>
      <c r="G3" s="1" t="s">
        <v>16</v>
      </c>
      <c r="H3" s="4">
        <v>178.9</v>
      </c>
      <c r="I3" s="4">
        <v>205.4</v>
      </c>
      <c r="J3" s="5"/>
      <c r="K3" s="5"/>
      <c r="L3" s="6">
        <f>ROUND(F3*I3*K3,2)</f>
      </c>
      <c r="M3" s="6">
        <f>ROUND(F3*H3*J3,2)</f>
      </c>
      <c r="N3" s="6">
        <f>ROUND(L3-M3,2)</f>
      </c>
    </row>
    <row r="4" spans="1:14" s="1" customFormat="1" x14ac:dyDescent="0.25">
      <c r="A4" s="1" t="s">
        <v>12</v>
      </c>
      <c r="B4" s="1" t="s">
        <v>63</v>
      </c>
      <c r="C4" s="1" t="s">
        <v>64</v>
      </c>
      <c r="D4" s="2" t="s">
        <v>17</v>
      </c>
      <c r="E4" s="2" t="s">
        <v>65</v>
      </c>
      <c r="F4" s="3">
        <v>12</v>
      </c>
      <c r="G4" s="1" t="s">
        <v>22</v>
      </c>
      <c r="H4" s="4">
        <v>195.35</v>
      </c>
      <c r="I4" s="4">
        <v>228.1</v>
      </c>
      <c r="J4" s="5"/>
      <c r="K4" s="5"/>
      <c r="L4" s="6">
        <f>ROUND(F4*I4*K4,2)</f>
      </c>
      <c r="M4" s="6">
        <f>ROUND(F4*H4*J4,2)</f>
      </c>
      <c r="N4" s="6">
        <f>ROUND(L4-M4,2)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FormatPr defaultRowHeight="15" outlineLevelRow="0" outlineLevelCol="0" x14ac:dyDescent="55"/>
  <cols>
    <col min="1" max="1" width="10" customWidth="1"/>
    <col min="2" max="2" width="14" customWidth="1"/>
    <col min="3" max="3" width="12" customWidth="1"/>
    <col min="4" max="4" width="10" customWidth="1"/>
    <col min="5" max="5" width="14" customWidth="1"/>
    <col min="6" max="7" width="12" customWidth="1"/>
    <col min="8" max="8" width="14" customWidth="1"/>
    <col min="9" max="10" width="12" customWidth="1"/>
    <col min="11" max="11" width="14" customWidth="1"/>
    <col min="12" max="12" width="20" customWidth="1"/>
  </cols>
  <sheetData>
    <row r="1" spans="1:12" x14ac:dyDescent="0.25">
      <c r="A1" s="1" t="s">
        <v>1</v>
      </c>
      <c r="B1" s="1" t="s">
        <v>2</v>
      </c>
      <c r="C1" s="1" t="s">
        <v>66</v>
      </c>
      <c r="D1" s="1" t="s">
        <v>5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10</v>
      </c>
    </row>
    <row r="2" spans="1:12" s="1" customFormat="1" x14ac:dyDescent="0.25">
      <c r="A2" s="1" t="s">
        <v>43</v>
      </c>
      <c r="B2" s="1" t="s">
        <v>44</v>
      </c>
      <c r="C2" s="2" t="s">
        <v>74</v>
      </c>
      <c r="D2" s="1" t="s">
        <v>46</v>
      </c>
      <c r="E2" s="4">
        <v>80</v>
      </c>
      <c r="F2" s="4">
        <v>0</v>
      </c>
      <c r="G2" s="5">
        <f>IFERROR(1.95583/VLOOKUP(C2,INDIRECT(D2&amp;"!A:B"),2,FALSE),"")</f>
      </c>
      <c r="H2" s="6">
        <f>ROUND(E2*G2,2)</f>
      </c>
      <c r="I2" s="6">
        <f>ROUND(F2*G2,2)</f>
      </c>
      <c r="J2" s="6">
        <f>ROUND(H2*0.05,2)</f>
      </c>
      <c r="K2" s="6">
        <f>MAX(0,J2-I2)</f>
      </c>
      <c r="L2" s="1" t="s">
        <v>17</v>
      </c>
    </row>
    <row r="3" spans="1:12" s="1" customFormat="1" x14ac:dyDescent="0.25">
      <c r="A3" s="1" t="s">
        <v>35</v>
      </c>
      <c r="B3" s="1" t="s">
        <v>14</v>
      </c>
      <c r="C3" s="2" t="s">
        <v>75</v>
      </c>
      <c r="D3" s="1" t="s">
        <v>16</v>
      </c>
      <c r="E3" s="4">
        <v>172.5</v>
      </c>
      <c r="F3" s="4">
        <v>17.25</v>
      </c>
      <c r="G3" s="5">
        <f>IFERROR(1.95583/VLOOKUP(C3,INDIRECT(D3&amp;"!A:B"),2,FALSE),"")</f>
      </c>
      <c r="H3" s="6">
        <f>ROUND(E3*G3,2)</f>
      </c>
      <c r="I3" s="6">
        <f>ROUND(F3*G3,2)</f>
      </c>
      <c r="J3" s="6">
        <f>ROUND(H3*0.05,2)</f>
      </c>
      <c r="K3" s="6">
        <f>MAX(0,J3-I3)</f>
      </c>
      <c r="L3" s="1" t="s">
        <v>17</v>
      </c>
    </row>
    <row r="4" spans="1:12" s="1" customFormat="1" x14ac:dyDescent="0.25">
      <c r="A4" s="1" t="s">
        <v>35</v>
      </c>
      <c r="B4" s="1" t="s">
        <v>14</v>
      </c>
      <c r="C4" s="2" t="s">
        <v>76</v>
      </c>
      <c r="D4" s="1" t="s">
        <v>16</v>
      </c>
      <c r="E4" s="4">
        <v>172.5</v>
      </c>
      <c r="F4" s="4">
        <v>17.25</v>
      </c>
      <c r="G4" s="5">
        <f>IFERROR(1.95583/VLOOKUP(C4,INDIRECT(D4&amp;"!A:B"),2,FALSE),"")</f>
      </c>
      <c r="H4" s="6">
        <f>ROUND(E4*G4,2)</f>
      </c>
      <c r="I4" s="6">
        <f>ROUND(F4*G4,2)</f>
      </c>
      <c r="J4" s="6">
        <f>ROUND(H4*0.05,2)</f>
      </c>
      <c r="K4" s="6">
        <f>MAX(0,J4-I4)</f>
      </c>
      <c r="L4" s="1" t="s">
        <v>17</v>
      </c>
    </row>
    <row r="5" spans="1:12" s="1" customFormat="1" x14ac:dyDescent="0.25">
      <c r="A5" s="1" t="s">
        <v>35</v>
      </c>
      <c r="B5" s="1" t="s">
        <v>14</v>
      </c>
      <c r="C5" s="2" t="s">
        <v>77</v>
      </c>
      <c r="D5" s="1" t="s">
        <v>16</v>
      </c>
      <c r="E5" s="4">
        <v>172.5</v>
      </c>
      <c r="F5" s="4">
        <v>17.25</v>
      </c>
      <c r="G5" s="5">
        <f>IFERROR(1.95583/VLOOKUP(C5,INDIRECT(D5&amp;"!A:B"),2,FALSE),"")</f>
      </c>
      <c r="H5" s="6">
        <f>ROUND(E5*G5,2)</f>
      </c>
      <c r="I5" s="6">
        <f>ROUND(F5*G5,2)</f>
      </c>
      <c r="J5" s="6">
        <f>ROUND(H5*0.05,2)</f>
      </c>
      <c r="K5" s="6">
        <f>MAX(0,J5-I5)</f>
      </c>
      <c r="L5" s="1" t="s">
        <v>17</v>
      </c>
    </row>
    <row r="6" spans="1:12" s="1" customFormat="1" x14ac:dyDescent="0.25">
      <c r="A6" s="1" t="s">
        <v>35</v>
      </c>
      <c r="B6" s="1" t="s">
        <v>14</v>
      </c>
      <c r="C6" s="2" t="s">
        <v>78</v>
      </c>
      <c r="D6" s="1" t="s">
        <v>16</v>
      </c>
      <c r="E6" s="4">
        <v>172.5</v>
      </c>
      <c r="F6" s="4">
        <v>17.25</v>
      </c>
      <c r="G6" s="5">
        <f>IFERROR(1.95583/VLOOKUP(C6,INDIRECT(D6&amp;"!A:B"),2,FALSE),"")</f>
      </c>
      <c r="H6" s="6">
        <f>ROUND(E6*G6,2)</f>
      </c>
      <c r="I6" s="6">
        <f>ROUND(F6*G6,2)</f>
      </c>
      <c r="J6" s="6">
        <f>ROUND(H6*0.05,2)</f>
      </c>
      <c r="K6" s="6">
        <f>MAX(0,J6-I6)</f>
      </c>
      <c r="L6" s="1" t="s">
        <v>17</v>
      </c>
    </row>
    <row r="7" spans="1:12" s="1" customFormat="1" x14ac:dyDescent="0.25">
      <c r="A7" s="1" t="s">
        <v>36</v>
      </c>
      <c r="B7" s="1" t="s">
        <v>14</v>
      </c>
      <c r="C7" s="2" t="s">
        <v>79</v>
      </c>
      <c r="D7" s="1" t="s">
        <v>16</v>
      </c>
      <c r="E7" s="4">
        <v>2</v>
      </c>
      <c r="F7" s="4">
        <v>0.3</v>
      </c>
      <c r="G7" s="5">
        <f>IFERROR(1.95583/VLOOKUP(C7,INDIRECT(D7&amp;"!A:B"),2,FALSE),"")</f>
      </c>
      <c r="H7" s="6">
        <f>ROUND(E7*G7,2)</f>
      </c>
      <c r="I7" s="6">
        <f>ROUND(F7*G7,2)</f>
      </c>
      <c r="J7" s="6">
        <f>ROUND(H7*0.05,2)</f>
      </c>
      <c r="K7" s="6">
        <f>MAX(0,J7-I7)</f>
      </c>
      <c r="L7" s="1" t="s">
        <v>17</v>
      </c>
    </row>
    <row r="8" spans="1:12" s="1" customFormat="1" x14ac:dyDescent="0.25">
      <c r="A8" s="1" t="s">
        <v>36</v>
      </c>
      <c r="B8" s="1" t="s">
        <v>14</v>
      </c>
      <c r="C8" s="2" t="s">
        <v>80</v>
      </c>
      <c r="D8" s="1" t="s">
        <v>16</v>
      </c>
      <c r="E8" s="4">
        <v>2</v>
      </c>
      <c r="F8" s="4">
        <v>0.3</v>
      </c>
      <c r="G8" s="5">
        <f>IFERROR(1.95583/VLOOKUP(C8,INDIRECT(D8&amp;"!A:B"),2,FALSE),"")</f>
      </c>
      <c r="H8" s="6">
        <f>ROUND(E8*G8,2)</f>
      </c>
      <c r="I8" s="6">
        <f>ROUND(F8*G8,2)</f>
      </c>
      <c r="J8" s="6">
        <f>ROUND(H8*0.05,2)</f>
      </c>
      <c r="K8" s="6">
        <f>MAX(0,J8-I8)</f>
      </c>
      <c r="L8" s="1" t="s">
        <v>17</v>
      </c>
    </row>
    <row r="9" spans="1:12" s="1" customFormat="1" x14ac:dyDescent="0.25">
      <c r="A9" s="1" t="s">
        <v>36</v>
      </c>
      <c r="B9" s="1" t="s">
        <v>14</v>
      </c>
      <c r="C9" s="2" t="s">
        <v>81</v>
      </c>
      <c r="D9" s="1" t="s">
        <v>16</v>
      </c>
      <c r="E9" s="4">
        <v>2</v>
      </c>
      <c r="F9" s="4">
        <v>0.3</v>
      </c>
      <c r="G9" s="5">
        <f>IFERROR(1.95583/VLOOKUP(C9,INDIRECT(D9&amp;"!A:B"),2,FALSE),"")</f>
      </c>
      <c r="H9" s="6">
        <f>ROUND(E9*G9,2)</f>
      </c>
      <c r="I9" s="6">
        <f>ROUND(F9*G9,2)</f>
      </c>
      <c r="J9" s="6">
        <f>ROUND(H9*0.05,2)</f>
      </c>
      <c r="K9" s="6">
        <f>MAX(0,J9-I9)</f>
      </c>
      <c r="L9" s="1" t="s">
        <v>17</v>
      </c>
    </row>
    <row r="10" spans="1:12" s="1" customFormat="1" x14ac:dyDescent="0.25">
      <c r="A10" s="1" t="s">
        <v>19</v>
      </c>
      <c r="B10" s="1" t="s">
        <v>20</v>
      </c>
      <c r="C10" s="2" t="s">
        <v>82</v>
      </c>
      <c r="D10" s="1" t="s">
        <v>22</v>
      </c>
      <c r="E10" s="4">
        <v>8.6</v>
      </c>
      <c r="F10" s="4">
        <v>1.29</v>
      </c>
      <c r="G10" s="5">
        <v>1.95583</v>
      </c>
      <c r="H10" s="6">
        <f>ROUND(E10*G10,2)</f>
      </c>
      <c r="I10" s="6">
        <f>ROUND(F10*G10,2)</f>
      </c>
      <c r="J10" s="6">
        <f>ROUND(H10*0.05,2)</f>
      </c>
      <c r="K10" s="6">
        <f>MAX(0,J10-I10)</f>
      </c>
      <c r="L10" s="1" t="s">
        <v>17</v>
      </c>
    </row>
    <row r="11" spans="1:12" s="1" customFormat="1" x14ac:dyDescent="0.25">
      <c r="A11" s="1" t="s">
        <v>19</v>
      </c>
      <c r="B11" s="1" t="s">
        <v>20</v>
      </c>
      <c r="C11" s="2" t="s">
        <v>83</v>
      </c>
      <c r="D11" s="1" t="s">
        <v>22</v>
      </c>
      <c r="E11" s="4">
        <v>8.6</v>
      </c>
      <c r="F11" s="4">
        <v>1.29</v>
      </c>
      <c r="G11" s="5">
        <v>1.95583</v>
      </c>
      <c r="H11" s="6">
        <f>ROUND(E11*G11,2)</f>
      </c>
      <c r="I11" s="6">
        <f>ROUND(F11*G11,2)</f>
      </c>
      <c r="J11" s="6">
        <f>ROUND(H11*0.05,2)</f>
      </c>
      <c r="K11" s="6">
        <f>MAX(0,J11-I11)</f>
      </c>
      <c r="L11" s="1" t="s">
        <v>17</v>
      </c>
    </row>
    <row r="12" spans="1:12" s="1" customFormat="1" x14ac:dyDescent="0.25">
      <c r="A12" s="1" t="s">
        <v>13</v>
      </c>
      <c r="B12" s="1" t="s">
        <v>14</v>
      </c>
      <c r="C12" s="2" t="s">
        <v>84</v>
      </c>
      <c r="D12" s="1" t="s">
        <v>16</v>
      </c>
      <c r="E12" s="4">
        <v>3</v>
      </c>
      <c r="F12" s="4">
        <v>0.45</v>
      </c>
      <c r="G12" s="5">
        <f>IFERROR(1.95583/VLOOKUP(C12,INDIRECT(D12&amp;"!A:B"),2,FALSE),"")</f>
      </c>
      <c r="H12" s="6">
        <f>ROUND(E12*G12,2)</f>
      </c>
      <c r="I12" s="6">
        <f>ROUND(F12*G12,2)</f>
      </c>
      <c r="J12" s="6">
        <f>ROUND(H12*0.05,2)</f>
      </c>
      <c r="K12" s="6">
        <f>MAX(0,J12-I12)</f>
      </c>
      <c r="L12" s="1" t="s">
        <v>17</v>
      </c>
    </row>
    <row r="13" spans="1:12" s="1" customFormat="1" x14ac:dyDescent="0.25">
      <c r="A13" s="1" t="s">
        <v>13</v>
      </c>
      <c r="B13" s="1" t="s">
        <v>14</v>
      </c>
      <c r="C13" s="2" t="s">
        <v>85</v>
      </c>
      <c r="D13" s="1" t="s">
        <v>16</v>
      </c>
      <c r="E13" s="4">
        <v>3</v>
      </c>
      <c r="F13" s="4">
        <v>0.45</v>
      </c>
      <c r="G13" s="5">
        <f>IFERROR(1.95583/VLOOKUP(C13,INDIRECT(D13&amp;"!A:B"),2,FALSE),"")</f>
      </c>
      <c r="H13" s="6">
        <f>ROUND(E13*G13,2)</f>
      </c>
      <c r="I13" s="6">
        <f>ROUND(F13*G13,2)</f>
      </c>
      <c r="J13" s="6">
        <f>ROUND(H13*0.05,2)</f>
      </c>
      <c r="K13" s="6">
        <f>MAX(0,J13-I13)</f>
      </c>
      <c r="L13" s="1" t="s">
        <v>17</v>
      </c>
    </row>
    <row r="14" spans="1:12" s="1" customFormat="1" x14ac:dyDescent="0.25">
      <c r="A14" s="1" t="s">
        <v>13</v>
      </c>
      <c r="B14" s="1" t="s">
        <v>14</v>
      </c>
      <c r="C14" s="2" t="s">
        <v>86</v>
      </c>
      <c r="D14" s="1" t="s">
        <v>16</v>
      </c>
      <c r="E14" s="4">
        <v>1.4</v>
      </c>
      <c r="F14" s="4">
        <v>0.21</v>
      </c>
      <c r="G14" s="5">
        <f>IFERROR(1.95583/VLOOKUP(C14,INDIRECT(D14&amp;"!A:B"),2,FALSE),"")</f>
      </c>
      <c r="H14" s="6">
        <f>ROUND(E14*G14,2)</f>
      </c>
      <c r="I14" s="6">
        <f>ROUND(F14*G14,2)</f>
      </c>
      <c r="J14" s="6">
        <f>ROUND(H14*0.05,2)</f>
      </c>
      <c r="K14" s="6">
        <f>MAX(0,J14-I14)</f>
      </c>
      <c r="L14" s="1" t="s">
        <v>17</v>
      </c>
    </row>
    <row r="15" spans="1:12" s="1" customFormat="1" x14ac:dyDescent="0.25">
      <c r="A15" s="1" t="s">
        <v>32</v>
      </c>
      <c r="B15" s="1" t="s">
        <v>14</v>
      </c>
      <c r="C15" s="2" t="s">
        <v>87</v>
      </c>
      <c r="D15" s="1" t="s">
        <v>42</v>
      </c>
      <c r="E15" s="4">
        <v>44.25</v>
      </c>
      <c r="F15" s="4">
        <v>0</v>
      </c>
      <c r="G15" s="5">
        <f>IFERROR(1.95583/VLOOKUP(C15,INDIRECT(D15&amp;"!A:B"),2,FALSE),"")</f>
      </c>
      <c r="H15" s="6">
        <f>ROUND(E15*G15,2)</f>
      </c>
      <c r="I15" s="6">
        <f>ROUND(F15*G15,2)</f>
      </c>
      <c r="J15" s="6">
        <f>ROUND(H15*0.05,2)</f>
      </c>
      <c r="K15" s="6">
        <f>MAX(0,J15-I15)</f>
      </c>
      <c r="L15" s="1" t="s">
        <v>17</v>
      </c>
    </row>
    <row r="16" spans="1:12" s="1" customFormat="1" x14ac:dyDescent="0.25">
      <c r="A16" s="1" t="s">
        <v>32</v>
      </c>
      <c r="B16" s="1" t="s">
        <v>14</v>
      </c>
      <c r="C16" s="2" t="s">
        <v>88</v>
      </c>
      <c r="D16" s="1" t="s">
        <v>42</v>
      </c>
      <c r="E16" s="4">
        <v>44.25</v>
      </c>
      <c r="F16" s="4">
        <v>0</v>
      </c>
      <c r="G16" s="5">
        <f>IFERROR(1.95583/VLOOKUP(C16,INDIRECT(D16&amp;"!A:B"),2,FALSE),"")</f>
      </c>
      <c r="H16" s="6">
        <f>ROUND(E16*G16,2)</f>
      </c>
      <c r="I16" s="6">
        <f>ROUND(F16*G16,2)</f>
      </c>
      <c r="J16" s="6">
        <f>ROUND(H16*0.05,2)</f>
      </c>
      <c r="K16" s="6">
        <f>MAX(0,J16-I16)</f>
      </c>
      <c r="L16" s="1" t="s">
        <v>17</v>
      </c>
    </row>
    <row r="17" spans="1:12" s="1" customFormat="1" x14ac:dyDescent="0.25">
      <c r="A17" s="1" t="s">
        <v>63</v>
      </c>
      <c r="B17" s="1" t="s">
        <v>64</v>
      </c>
      <c r="C17" s="2" t="s">
        <v>89</v>
      </c>
      <c r="D17" s="1" t="s">
        <v>22</v>
      </c>
      <c r="E17" s="4">
        <v>28.2</v>
      </c>
      <c r="F17" s="4">
        <v>7.33</v>
      </c>
      <c r="G17" s="5">
        <v>1.95583</v>
      </c>
      <c r="H17" s="6">
        <f>ROUND(E17*G17,2)</f>
      </c>
      <c r="I17" s="6">
        <f>ROUND(F17*G17,2)</f>
      </c>
      <c r="J17" s="6">
        <f>ROUND(H17*0.05,2)</f>
      </c>
      <c r="K17" s="6">
        <f>MAX(0,J17-I17)</f>
      </c>
      <c r="L17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2" width="12" customWidth="1"/>
    <col min="3" max="3" width="10" customWidth="1"/>
    <col min="4" max="5" width="12" customWidth="1"/>
    <col min="6" max="6" width="14" customWidth="1"/>
  </cols>
  <sheetData>
    <row r="1" spans="1:6" x14ac:dyDescent="0.25">
      <c r="A1" s="1" t="s">
        <v>66</v>
      </c>
      <c r="B1" s="1" t="s">
        <v>1</v>
      </c>
      <c r="C1" s="1" t="s">
        <v>5</v>
      </c>
      <c r="D1" s="1" t="s">
        <v>90</v>
      </c>
      <c r="E1" s="1" t="s">
        <v>91</v>
      </c>
      <c r="F1" s="1" t="s">
        <v>92</v>
      </c>
    </row>
    <row r="2" spans="1:6" s="1" customFormat="1" x14ac:dyDescent="0.25">
      <c r="A2" s="2" t="s">
        <v>75</v>
      </c>
      <c r="B2" s="1" t="s">
        <v>13</v>
      </c>
      <c r="C2" s="1" t="s">
        <v>16</v>
      </c>
      <c r="D2" s="4">
        <v>0.06</v>
      </c>
      <c r="E2" s="5">
        <f>IFERROR(1.95583/VLOOKUP(A2,INDIRECT(C2&amp;"!A:B"),2,FALSE),"")</f>
      </c>
      <c r="F2" s="6">
        <f>ROUND(D2*E2,2)</f>
      </c>
    </row>
    <row r="3" spans="1:6" s="1" customFormat="1" x14ac:dyDescent="0.25">
      <c r="A3" s="2" t="s">
        <v>93</v>
      </c>
      <c r="B3" s="1" t="s">
        <v>13</v>
      </c>
      <c r="C3" s="1" t="s">
        <v>16</v>
      </c>
      <c r="D3" s="4">
        <v>0.06</v>
      </c>
      <c r="E3" s="5">
        <f>IFERROR(1.95583/VLOOKUP(A3,INDIRECT(C3&amp;"!A:B"),2,FALSE),"")</f>
      </c>
      <c r="F3" s="6">
        <f>ROUND(D3*E3,2)</f>
      </c>
    </row>
    <row r="4" spans="1:6" s="1" customFormat="1" x14ac:dyDescent="0.25">
      <c r="A4" s="2" t="s">
        <v>94</v>
      </c>
      <c r="B4" s="1" t="s">
        <v>13</v>
      </c>
      <c r="C4" s="1" t="s">
        <v>16</v>
      </c>
      <c r="D4" s="4">
        <v>0.06</v>
      </c>
      <c r="E4" s="5">
        <f>IFERROR(1.95583/VLOOKUP(A4,INDIRECT(C4&amp;"!A:B"),2,FALSE),"")</f>
      </c>
      <c r="F4" s="6">
        <f>ROUND(D4*E4,2)</f>
      </c>
    </row>
    <row r="5" spans="1:6" s="1" customFormat="1" x14ac:dyDescent="0.25">
      <c r="A5" s="2" t="s">
        <v>74</v>
      </c>
      <c r="B5" s="1" t="s">
        <v>36</v>
      </c>
      <c r="C5" s="1" t="s">
        <v>16</v>
      </c>
      <c r="D5" s="4">
        <v>0.1</v>
      </c>
      <c r="E5" s="5">
        <f>IFERROR(1.95583/VLOOKUP(A5,INDIRECT(C5&amp;"!A:B"),2,FALSE),"")</f>
      </c>
      <c r="F5" s="6">
        <f>ROUND(D5*E5,2)</f>
      </c>
    </row>
    <row r="6" spans="1:6" s="1" customFormat="1" x14ac:dyDescent="0.25">
      <c r="A6" s="2" t="s">
        <v>95</v>
      </c>
      <c r="B6" s="1" t="s">
        <v>36</v>
      </c>
      <c r="C6" s="1" t="s">
        <v>16</v>
      </c>
      <c r="D6" s="4">
        <v>0.1</v>
      </c>
      <c r="E6" s="5">
        <f>IFERROR(1.95583/VLOOKUP(A6,INDIRECT(C6&amp;"!A:B"),2,FALSE),"")</f>
      </c>
      <c r="F6" s="6">
        <f>ROUND(D6*E6,2)</f>
      </c>
    </row>
    <row r="7" spans="1:6" s="1" customFormat="1" x14ac:dyDescent="0.25">
      <c r="A7" s="2" t="s">
        <v>96</v>
      </c>
      <c r="B7" s="1" t="s">
        <v>19</v>
      </c>
      <c r="C7" s="1" t="s">
        <v>22</v>
      </c>
      <c r="D7" s="4">
        <v>0.07</v>
      </c>
      <c r="E7" s="5">
        <v>1.95583</v>
      </c>
      <c r="F7" s="6">
        <f>ROUND(D7*E7,2)</f>
      </c>
    </row>
    <row r="8" spans="1:6" s="1" customFormat="1" x14ac:dyDescent="0.25">
      <c r="A8" s="2" t="s">
        <v>97</v>
      </c>
      <c r="B8" s="1" t="s">
        <v>19</v>
      </c>
      <c r="C8" s="1" t="s">
        <v>22</v>
      </c>
      <c r="D8" s="4">
        <v>0.07</v>
      </c>
      <c r="E8" s="5">
        <v>1.95583</v>
      </c>
      <c r="F8" s="6">
        <f>ROUND(D8*E8,2)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FormatPr defaultRowHeight="15" outlineLevelRow="0" outlineLevelCol="0" x14ac:dyDescent="55"/>
  <cols>
    <col min="1" max="1" width="12" customWidth="1"/>
    <col min="2" max="2" width="30" customWidth="1"/>
    <col min="3" max="4" width="12" customWidth="1"/>
    <col min="5" max="5" width="14" customWidth="1"/>
  </cols>
  <sheetData>
    <row r="1" spans="1:5" x14ac:dyDescent="0.25">
      <c r="A1" s="1" t="s">
        <v>66</v>
      </c>
      <c r="B1" s="1" t="s">
        <v>98</v>
      </c>
      <c r="C1" s="1" t="s">
        <v>99</v>
      </c>
      <c r="D1" s="1" t="s">
        <v>91</v>
      </c>
      <c r="E1" s="1" t="s">
        <v>100</v>
      </c>
    </row>
    <row r="2" spans="1:5" s="1" customFormat="1" x14ac:dyDescent="0.25">
      <c r="A2" s="2" t="s">
        <v>101</v>
      </c>
      <c r="B2" s="1" t="s">
        <v>102</v>
      </c>
      <c r="C2" s="4">
        <v>0.1842</v>
      </c>
      <c r="D2" s="5">
        <f>IFERROR(1.95583/VLOOKUP(A2,INDIRECT("GBP"&amp;"!A:B"),2,FALSE),"")</f>
      </c>
      <c r="E2" s="6">
        <f>ROUND(C2*D2,2)</f>
      </c>
    </row>
    <row r="3" spans="1:5" s="1" customFormat="1" x14ac:dyDescent="0.25">
      <c r="A3" s="2" t="s">
        <v>101</v>
      </c>
      <c r="B3" s="1" t="s">
        <v>103</v>
      </c>
      <c r="C3" s="4">
        <v>-0.0789</v>
      </c>
      <c r="D3" s="5">
        <f>IFERROR(1.95583/VLOOKUP(A3,INDIRECT("GBP"&amp;"!A:B"),2,FALSE),"")</f>
      </c>
      <c r="E3" s="6">
        <f>ROUND(C3*D3,2)</f>
      </c>
    </row>
    <row r="4" spans="1:5" s="1" customFormat="1" x14ac:dyDescent="0.25">
      <c r="A4" s="2" t="s">
        <v>104</v>
      </c>
      <c r="B4" s="1" t="s">
        <v>102</v>
      </c>
      <c r="C4" s="4">
        <v>0.1842</v>
      </c>
      <c r="D4" s="5">
        <f>IFERROR(1.95583/VLOOKUP(A4,INDIRECT("GBP"&amp;"!A:B"),2,FALSE),"")</f>
      </c>
      <c r="E4" s="6">
        <f>ROUND(C4*D4,2)</f>
      </c>
    </row>
    <row r="5" spans="1:5" s="1" customFormat="1" x14ac:dyDescent="0.25">
      <c r="A5" s="2" t="s">
        <v>104</v>
      </c>
      <c r="B5" s="1" t="s">
        <v>103</v>
      </c>
      <c r="C5" s="4">
        <v>-0.0789</v>
      </c>
      <c r="D5" s="5">
        <f>IFERROR(1.95583/VLOOKUP(A5,INDIRECT("GBP"&amp;"!A:B"),2,FALSE),"")</f>
      </c>
      <c r="E5" s="6">
        <f>ROUND(C5*D5,2)</f>
      </c>
    </row>
    <row r="6" spans="1:5" s="1" customFormat="1" x14ac:dyDescent="0.25">
      <c r="A6" s="2" t="s">
        <v>105</v>
      </c>
      <c r="B6" s="1" t="s">
        <v>102</v>
      </c>
      <c r="C6" s="4">
        <v>0.1842</v>
      </c>
      <c r="D6" s="5">
        <f>IFERROR(1.95583/VLOOKUP(A6,INDIRECT("GBP"&amp;"!A:B"),2,FALSE),"")</f>
      </c>
      <c r="E6" s="6">
        <f>ROUND(C6*D6,2)</f>
      </c>
    </row>
    <row r="7" spans="1:5" s="1" customFormat="1" x14ac:dyDescent="0.25">
      <c r="A7" s="2" t="s">
        <v>105</v>
      </c>
      <c r="B7" s="1" t="s">
        <v>103</v>
      </c>
      <c r="C7" s="4">
        <v>-0.0789</v>
      </c>
      <c r="D7" s="5">
        <f>IFERROR(1.95583/VLOOKUP(A7,INDIRECT("GBP"&amp;"!A:B"),2,FALSE),"")</f>
      </c>
      <c r="E7" s="6">
        <f>ROUND(C7*D7,2)</f>
      </c>
    </row>
    <row r="8" spans="1:5" s="1" customFormat="1" x14ac:dyDescent="0.25">
      <c r="A8" s="2" t="s">
        <v>106</v>
      </c>
      <c r="B8" s="1" t="s">
        <v>102</v>
      </c>
      <c r="C8" s="4">
        <v>0.1842</v>
      </c>
      <c r="D8" s="5">
        <f>IFERROR(1.95583/VLOOKUP(A8,INDIRECT("GBP"&amp;"!A:B"),2,FALSE),"")</f>
      </c>
      <c r="E8" s="6">
        <f>ROUND(C8*D8,2)</f>
      </c>
    </row>
    <row r="9" spans="1:5" s="1" customFormat="1" x14ac:dyDescent="0.25">
      <c r="A9" s="2" t="s">
        <v>106</v>
      </c>
      <c r="B9" s="1" t="s">
        <v>103</v>
      </c>
      <c r="C9" s="4">
        <v>-0.0789</v>
      </c>
      <c r="D9" s="5">
        <f>IFERROR(1.95583/VLOOKUP(A9,INDIRECT("GBP"&amp;"!A:B"),2,FALSE),"")</f>
      </c>
      <c r="E9" s="6">
        <f>ROUND(C9*D9,2)</f>
      </c>
    </row>
    <row r="10" spans="1:5" s="1" customFormat="1" x14ac:dyDescent="0.25">
      <c r="A10" s="2" t="s">
        <v>78</v>
      </c>
      <c r="B10" s="1" t="s">
        <v>102</v>
      </c>
      <c r="C10" s="4">
        <v>0.1842</v>
      </c>
      <c r="D10" s="5">
        <f>IFERROR(1.95583/VLOOKUP(A10,INDIRECT("GBP"&amp;"!A:B"),2,FALSE),"")</f>
      </c>
      <c r="E10" s="6">
        <f>ROUND(C10*D10,2)</f>
      </c>
    </row>
    <row r="11" spans="1:5" s="1" customFormat="1" x14ac:dyDescent="0.25">
      <c r="A11" s="2" t="s">
        <v>78</v>
      </c>
      <c r="B11" s="1" t="s">
        <v>103</v>
      </c>
      <c r="C11" s="4">
        <v>-0.0789</v>
      </c>
      <c r="D11" s="5">
        <f>IFERROR(1.95583/VLOOKUP(A11,INDIRECT("GBP"&amp;"!A:B"),2,FALSE),"")</f>
      </c>
      <c r="E11" s="6">
        <f>ROUND(C11*D11,2)</f>
      </c>
    </row>
    <row r="12" spans="1:5" s="1" customFormat="1" x14ac:dyDescent="0.25">
      <c r="A12" s="2" t="s">
        <v>107</v>
      </c>
      <c r="B12" s="1" t="s">
        <v>102</v>
      </c>
      <c r="C12" s="4">
        <v>0.1842</v>
      </c>
      <c r="D12" s="5">
        <f>IFERROR(1.95583/VLOOKUP(A12,INDIRECT("GBP"&amp;"!A:B"),2,FALSE),"")</f>
      </c>
      <c r="E12" s="6">
        <f>ROUND(C12*D12,2)</f>
      </c>
    </row>
    <row r="13" spans="1:5" s="1" customFormat="1" x14ac:dyDescent="0.25">
      <c r="A13" s="2" t="s">
        <v>107</v>
      </c>
      <c r="B13" s="1" t="s">
        <v>103</v>
      </c>
      <c r="C13" s="4">
        <v>-0.0789</v>
      </c>
      <c r="D13" s="5">
        <f>IFERROR(1.95583/VLOOKUP(A13,INDIRECT("GBP"&amp;"!A:B"),2,FALSE),"")</f>
      </c>
      <c r="E13" s="6">
        <f>ROUND(C13*D13,2)</f>
      </c>
    </row>
    <row r="14" spans="1:5" s="1" customFormat="1" x14ac:dyDescent="0.25">
      <c r="A14" s="2" t="s">
        <v>108</v>
      </c>
      <c r="B14" s="1" t="s">
        <v>102</v>
      </c>
      <c r="C14" s="4">
        <v>0.179</v>
      </c>
      <c r="D14" s="5">
        <f>IFERROR(1.95583/VLOOKUP(A14,INDIRECT("GBP"&amp;"!A:B"),2,FALSE),"")</f>
      </c>
      <c r="E14" s="6">
        <f>ROUND(C14*D14,2)</f>
      </c>
    </row>
    <row r="15" spans="1:5" s="1" customFormat="1" x14ac:dyDescent="0.25">
      <c r="A15" s="2" t="s">
        <v>108</v>
      </c>
      <c r="B15" s="1" t="s">
        <v>103</v>
      </c>
      <c r="C15" s="4">
        <v>-0.0767</v>
      </c>
      <c r="D15" s="5">
        <f>IFERROR(1.95583/VLOOKUP(A15,INDIRECT("GBP"&amp;"!A:B"),2,FALSE),"")</f>
      </c>
      <c r="E15" s="6">
        <f>ROUND(C15*D15,2)</f>
      </c>
    </row>
    <row r="16" spans="1:5" s="1" customFormat="1" x14ac:dyDescent="0.25">
      <c r="A16" s="2" t="s">
        <v>109</v>
      </c>
      <c r="B16" s="1" t="s">
        <v>102</v>
      </c>
      <c r="C16" s="4">
        <v>0.179</v>
      </c>
      <c r="D16" s="5">
        <f>IFERROR(1.95583/VLOOKUP(A16,INDIRECT("GBP"&amp;"!A:B"),2,FALSE),"")</f>
      </c>
      <c r="E16" s="6">
        <f>ROUND(C16*D16,2)</f>
      </c>
    </row>
    <row r="17" spans="1:5" s="1" customFormat="1" x14ac:dyDescent="0.25">
      <c r="A17" s="2" t="s">
        <v>109</v>
      </c>
      <c r="B17" s="1" t="s">
        <v>103</v>
      </c>
      <c r="C17" s="4">
        <v>-0.0767</v>
      </c>
      <c r="D17" s="5">
        <f>IFERROR(1.95583/VLOOKUP(A17,INDIRECT("GBP"&amp;"!A:B"),2,FALSE),"")</f>
      </c>
      <c r="E17" s="6">
        <f>ROUND(C17*D17,2)</f>
      </c>
    </row>
    <row r="18" spans="1:5" s="1" customFormat="1" x14ac:dyDescent="0.25">
      <c r="A18" s="2" t="s">
        <v>110</v>
      </c>
      <c r="B18" s="1" t="s">
        <v>102</v>
      </c>
      <c r="C18" s="4">
        <v>0.179</v>
      </c>
      <c r="D18" s="5">
        <f>IFERROR(1.95583/VLOOKUP(A18,INDIRECT("GBP"&amp;"!A:B"),2,FALSE),"")</f>
      </c>
      <c r="E18" s="6">
        <f>ROUND(C18*D18,2)</f>
      </c>
    </row>
    <row r="19" spans="1:5" s="1" customFormat="1" x14ac:dyDescent="0.25">
      <c r="A19" s="2" t="s">
        <v>110</v>
      </c>
      <c r="B19" s="1" t="s">
        <v>103</v>
      </c>
      <c r="C19" s="4">
        <v>-0.0767</v>
      </c>
      <c r="D19" s="5">
        <f>IFERROR(1.95583/VLOOKUP(A19,INDIRECT("GBP"&amp;"!A:B"),2,FALSE),"")</f>
      </c>
      <c r="E19" s="6">
        <f>ROUND(C19*D19,2)</f>
      </c>
    </row>
    <row r="20" spans="1:5" s="1" customFormat="1" x14ac:dyDescent="0.25">
      <c r="A20" s="2" t="s">
        <v>111</v>
      </c>
      <c r="B20" s="1" t="s">
        <v>102</v>
      </c>
      <c r="C20" s="4">
        <v>0.1815</v>
      </c>
      <c r="D20" s="5">
        <f>IFERROR(1.95583/VLOOKUP(A20,INDIRECT("GBP"&amp;"!A:B"),2,FALSE),"")</f>
      </c>
      <c r="E20" s="6">
        <f>ROUND(C20*D20,2)</f>
      </c>
    </row>
    <row r="21" spans="1:5" s="1" customFormat="1" x14ac:dyDescent="0.25">
      <c r="A21" s="2" t="s">
        <v>111</v>
      </c>
      <c r="B21" s="1" t="s">
        <v>103</v>
      </c>
      <c r="C21" s="4">
        <v>-0.0778</v>
      </c>
      <c r="D21" s="5">
        <f>IFERROR(1.95583/VLOOKUP(A21,INDIRECT("GBP"&amp;"!A:B"),2,FALSE),"")</f>
      </c>
      <c r="E21" s="6">
        <f>ROUND(C21*D21,2)</f>
      </c>
    </row>
    <row r="22" spans="1:5" s="1" customFormat="1" x14ac:dyDescent="0.25">
      <c r="A22" s="2" t="s">
        <v>112</v>
      </c>
      <c r="B22" s="1" t="s">
        <v>102</v>
      </c>
      <c r="C22" s="4">
        <v>0.1815</v>
      </c>
      <c r="D22" s="5">
        <f>IFERROR(1.95583/VLOOKUP(A22,INDIRECT("GBP"&amp;"!A:B"),2,FALSE),"")</f>
      </c>
      <c r="E22" s="6">
        <f>ROUND(C22*D22,2)</f>
      </c>
    </row>
    <row r="23" spans="1:5" s="1" customFormat="1" x14ac:dyDescent="0.25">
      <c r="A23" s="2" t="s">
        <v>112</v>
      </c>
      <c r="B23" s="1" t="s">
        <v>103</v>
      </c>
      <c r="C23" s="4">
        <v>-0.0778</v>
      </c>
      <c r="D23" s="5">
        <f>IFERROR(1.95583/VLOOKUP(A23,INDIRECT("GBP"&amp;"!A:B"),2,FALSE),"")</f>
      </c>
      <c r="E23" s="6">
        <f>ROUND(C23*D23,2)</f>
      </c>
    </row>
    <row r="24" spans="1:5" s="1" customFormat="1" x14ac:dyDescent="0.25">
      <c r="A24" s="2" t="s">
        <v>113</v>
      </c>
      <c r="B24" s="1" t="s">
        <v>102</v>
      </c>
      <c r="C24" s="4">
        <v>0.1815</v>
      </c>
      <c r="D24" s="5">
        <f>IFERROR(1.95583/VLOOKUP(A24,INDIRECT("GBP"&amp;"!A:B"),2,FALSE),"")</f>
      </c>
      <c r="E24" s="6">
        <f>ROUND(C24*D24,2)</f>
      </c>
    </row>
    <row r="25" spans="1:5" s="1" customFormat="1" x14ac:dyDescent="0.25">
      <c r="A25" s="2" t="s">
        <v>113</v>
      </c>
      <c r="B25" s="1" t="s">
        <v>103</v>
      </c>
      <c r="C25" s="4">
        <v>-0.0778</v>
      </c>
      <c r="D25" s="5">
        <f>IFERROR(1.95583/VLOOKUP(A25,INDIRECT("GBP"&amp;"!A:B"),2,FALSE),"")</f>
      </c>
      <c r="E25" s="6">
        <f>ROUND(C25*D25,2)</f>
      </c>
    </row>
    <row r="26" spans="1:5" s="1" customFormat="1" x14ac:dyDescent="0.25">
      <c r="A26" s="2" t="s">
        <v>114</v>
      </c>
      <c r="B26" s="1" t="s">
        <v>102</v>
      </c>
      <c r="C26" s="4">
        <v>0.176</v>
      </c>
      <c r="D26" s="5">
        <f>IFERROR(1.95583/VLOOKUP(A26,INDIRECT("GBP"&amp;"!A:B"),2,FALSE),"")</f>
      </c>
      <c r="E26" s="6">
        <f>ROUND(C26*D26,2)</f>
      </c>
    </row>
    <row r="27" spans="1:5" s="1" customFormat="1" x14ac:dyDescent="0.25">
      <c r="A27" s="2" t="s">
        <v>114</v>
      </c>
      <c r="B27" s="1" t="s">
        <v>103</v>
      </c>
      <c r="C27" s="4">
        <v>-0.0754</v>
      </c>
      <c r="D27" s="5">
        <f>IFERROR(1.95583/VLOOKUP(A27,INDIRECT("GBP"&amp;"!A:B"),2,FALSE),"")</f>
      </c>
      <c r="E27" s="6">
        <f>ROUND(C27*D27,2)</f>
      </c>
    </row>
    <row r="28" spans="1:5" s="1" customFormat="1" x14ac:dyDescent="0.25">
      <c r="A28" s="2" t="s">
        <v>77</v>
      </c>
      <c r="B28" s="1" t="s">
        <v>102</v>
      </c>
      <c r="C28" s="4">
        <v>0.176</v>
      </c>
      <c r="D28" s="5">
        <f>IFERROR(1.95583/VLOOKUP(A28,INDIRECT("GBP"&amp;"!A:B"),2,FALSE),"")</f>
      </c>
      <c r="E28" s="6">
        <f>ROUND(C28*D28,2)</f>
      </c>
    </row>
    <row r="29" spans="1:5" s="1" customFormat="1" x14ac:dyDescent="0.25">
      <c r="A29" s="2" t="s">
        <v>77</v>
      </c>
      <c r="B29" s="1" t="s">
        <v>103</v>
      </c>
      <c r="C29" s="4">
        <v>-0.0754</v>
      </c>
      <c r="D29" s="5">
        <f>IFERROR(1.95583/VLOOKUP(A29,INDIRECT("GBP"&amp;"!A:B"),2,FALSE),"")</f>
      </c>
      <c r="E29" s="6">
        <f>ROUND(C29*D29,2)</f>
      </c>
    </row>
    <row r="30" spans="1:5" s="1" customFormat="1" x14ac:dyDescent="0.25">
      <c r="A30" s="2" t="s">
        <v>115</v>
      </c>
      <c r="B30" s="1" t="s">
        <v>102</v>
      </c>
      <c r="C30" s="4">
        <v>0.176</v>
      </c>
      <c r="D30" s="5">
        <f>IFERROR(1.95583/VLOOKUP(A30,INDIRECT("GBP"&amp;"!A:B"),2,FALSE),"")</f>
      </c>
      <c r="E30" s="6">
        <f>ROUND(C30*D30,2)</f>
      </c>
    </row>
    <row r="31" spans="1:5" s="1" customFormat="1" x14ac:dyDescent="0.25">
      <c r="A31" s="2" t="s">
        <v>115</v>
      </c>
      <c r="B31" s="1" t="s">
        <v>103</v>
      </c>
      <c r="C31" s="4">
        <v>-0.0754</v>
      </c>
      <c r="D31" s="5">
        <f>IFERROR(1.95583/VLOOKUP(A31,INDIRECT("GBP"&amp;"!A:B"),2,FALSE),"")</f>
      </c>
      <c r="E31" s="6">
        <f>ROUND(C31*D31,2)</f>
      </c>
    </row>
    <row r="32" spans="1:5" s="1" customFormat="1" x14ac:dyDescent="0.25">
      <c r="A32" s="2" t="s">
        <v>116</v>
      </c>
      <c r="B32" s="1" t="s">
        <v>102</v>
      </c>
      <c r="C32" s="4">
        <v>0.1738</v>
      </c>
      <c r="D32" s="5">
        <f>IFERROR(1.95583/VLOOKUP(A32,INDIRECT("GBP"&amp;"!A:B"),2,FALSE),"")</f>
      </c>
      <c r="E32" s="6">
        <f>ROUND(C32*D32,2)</f>
      </c>
    </row>
    <row r="33" spans="1:5" s="1" customFormat="1" x14ac:dyDescent="0.25">
      <c r="A33" s="2" t="s">
        <v>116</v>
      </c>
      <c r="B33" s="1" t="s">
        <v>103</v>
      </c>
      <c r="C33" s="4">
        <v>-0.0745</v>
      </c>
      <c r="D33" s="5">
        <f>IFERROR(1.95583/VLOOKUP(A33,INDIRECT("GBP"&amp;"!A:B"),2,FALSE),"")</f>
      </c>
      <c r="E33" s="6">
        <f>ROUND(C33*D33,2)</f>
      </c>
    </row>
    <row r="34" spans="1:5" s="1" customFormat="1" x14ac:dyDescent="0.25">
      <c r="A34" s="2" t="s">
        <v>117</v>
      </c>
      <c r="B34" s="1" t="s">
        <v>102</v>
      </c>
      <c r="C34" s="4">
        <v>0.1738</v>
      </c>
      <c r="D34" s="5">
        <f>IFERROR(1.95583/VLOOKUP(A34,INDIRECT("GBP"&amp;"!A:B"),2,FALSE),"")</f>
      </c>
      <c r="E34" s="6">
        <f>ROUND(C34*D34,2)</f>
      </c>
    </row>
    <row r="35" spans="1:5" s="1" customFormat="1" x14ac:dyDescent="0.25">
      <c r="A35" s="2" t="s">
        <v>117</v>
      </c>
      <c r="B35" s="1" t="s">
        <v>103</v>
      </c>
      <c r="C35" s="4">
        <v>-0.0745</v>
      </c>
      <c r="D35" s="5">
        <f>IFERROR(1.95583/VLOOKUP(A35,INDIRECT("GBP"&amp;"!A:B"),2,FALSE),"")</f>
      </c>
      <c r="E35" s="6">
        <f>ROUND(C35*D35,2)</f>
      </c>
    </row>
    <row r="36" spans="1:5" s="1" customFormat="1" x14ac:dyDescent="0.25">
      <c r="A36" s="2" t="s">
        <v>118</v>
      </c>
      <c r="B36" s="1" t="s">
        <v>102</v>
      </c>
      <c r="C36" s="4">
        <v>0.1738</v>
      </c>
      <c r="D36" s="5">
        <f>IFERROR(1.95583/VLOOKUP(A36,INDIRECT("GBP"&amp;"!A:B"),2,FALSE),"")</f>
      </c>
      <c r="E36" s="6">
        <f>ROUND(C36*D36,2)</f>
      </c>
    </row>
    <row r="37" spans="1:5" s="1" customFormat="1" x14ac:dyDescent="0.25">
      <c r="A37" s="2" t="s">
        <v>118</v>
      </c>
      <c r="B37" s="1" t="s">
        <v>103</v>
      </c>
      <c r="C37" s="4">
        <v>-0.0745</v>
      </c>
      <c r="D37" s="5">
        <f>IFERROR(1.95583/VLOOKUP(A37,INDIRECT("GBP"&amp;"!A:B"),2,FALSE),"")</f>
      </c>
      <c r="E37" s="6">
        <f>ROUND(C37*D37,2)</f>
      </c>
    </row>
    <row r="38" spans="1:5" s="1" customFormat="1" x14ac:dyDescent="0.25">
      <c r="A38" s="2" t="s">
        <v>119</v>
      </c>
      <c r="B38" s="1" t="s">
        <v>102</v>
      </c>
      <c r="C38" s="4">
        <v>0.1705</v>
      </c>
      <c r="D38" s="5">
        <f>IFERROR(1.95583/VLOOKUP(A38,INDIRECT("GBP"&amp;"!A:B"),2,FALSE),"")</f>
      </c>
      <c r="E38" s="6">
        <f>ROUND(C38*D38,2)</f>
      </c>
    </row>
    <row r="39" spans="1:5" s="1" customFormat="1" x14ac:dyDescent="0.25">
      <c r="A39" s="2" t="s">
        <v>119</v>
      </c>
      <c r="B39" s="1" t="s">
        <v>103</v>
      </c>
      <c r="C39" s="4">
        <v>-0.0731</v>
      </c>
      <c r="D39" s="5">
        <f>IFERROR(1.95583/VLOOKUP(A39,INDIRECT("GBP"&amp;"!A:B"),2,FALSE),"")</f>
      </c>
      <c r="E39" s="6">
        <f>ROUND(C39*D39,2)</f>
      </c>
    </row>
    <row r="40" spans="1:5" s="1" customFormat="1" x14ac:dyDescent="0.25">
      <c r="A40" s="2" t="s">
        <v>89</v>
      </c>
      <c r="B40" s="1" t="s">
        <v>102</v>
      </c>
      <c r="C40" s="4">
        <v>0.1705</v>
      </c>
      <c r="D40" s="5">
        <f>IFERROR(1.95583/VLOOKUP(A40,INDIRECT("GBP"&amp;"!A:B"),2,FALSE),"")</f>
      </c>
      <c r="E40" s="6">
        <f>ROUND(C40*D40,2)</f>
      </c>
    </row>
    <row r="41" spans="1:5" s="1" customFormat="1" x14ac:dyDescent="0.25">
      <c r="A41" s="2" t="s">
        <v>89</v>
      </c>
      <c r="B41" s="1" t="s">
        <v>103</v>
      </c>
      <c r="C41" s="4">
        <v>-0.0731</v>
      </c>
      <c r="D41" s="5">
        <f>IFERROR(1.95583/VLOOKUP(A41,INDIRECT("GBP"&amp;"!A:B"),2,FALSE),"")</f>
      </c>
      <c r="E41" s="6">
        <f>ROUND(C41*D41,2)</f>
      </c>
    </row>
    <row r="42" spans="1:5" s="1" customFormat="1" x14ac:dyDescent="0.25">
      <c r="A42" s="2" t="s">
        <v>120</v>
      </c>
      <c r="B42" s="1" t="s">
        <v>102</v>
      </c>
      <c r="C42" s="4">
        <v>0.1705</v>
      </c>
      <c r="D42" s="5">
        <f>IFERROR(1.95583/VLOOKUP(A42,INDIRECT("GBP"&amp;"!A:B"),2,FALSE),"")</f>
      </c>
      <c r="E42" s="6">
        <f>ROUND(C42*D42,2)</f>
      </c>
    </row>
    <row r="43" spans="1:5" s="1" customFormat="1" x14ac:dyDescent="0.25">
      <c r="A43" s="2" t="s">
        <v>120</v>
      </c>
      <c r="B43" s="1" t="s">
        <v>103</v>
      </c>
      <c r="C43" s="4">
        <v>-0.0731</v>
      </c>
      <c r="D43" s="5">
        <f>IFERROR(1.95583/VLOOKUP(A43,INDIRECT("GBP"&amp;"!A:B"),2,FALSE),"")</f>
      </c>
      <c r="E43" s="6">
        <f>ROUND(C43*D43,2)</f>
      </c>
    </row>
    <row r="44" spans="1:5" s="1" customFormat="1" x14ac:dyDescent="0.25">
      <c r="A44" s="2" t="s">
        <v>121</v>
      </c>
      <c r="B44" s="1" t="s">
        <v>102</v>
      </c>
      <c r="C44" s="4">
        <v>0.1688</v>
      </c>
      <c r="D44" s="5">
        <f>IFERROR(1.95583/VLOOKUP(A44,INDIRECT("GBP"&amp;"!A:B"),2,FALSE),"")</f>
      </c>
      <c r="E44" s="6">
        <f>ROUND(C44*D44,2)</f>
      </c>
    </row>
    <row r="45" spans="1:5" s="1" customFormat="1" x14ac:dyDescent="0.25">
      <c r="A45" s="2" t="s">
        <v>121</v>
      </c>
      <c r="B45" s="1" t="s">
        <v>103</v>
      </c>
      <c r="C45" s="4">
        <v>-0.0723</v>
      </c>
      <c r="D45" s="5">
        <f>IFERROR(1.95583/VLOOKUP(A45,INDIRECT("GBP"&amp;"!A:B"),2,FALSE),"")</f>
      </c>
      <c r="E45" s="6">
        <f>ROUND(C45*D45,2)</f>
      </c>
    </row>
    <row r="46" spans="1:5" s="1" customFormat="1" x14ac:dyDescent="0.25">
      <c r="A46" s="2" t="s">
        <v>76</v>
      </c>
      <c r="B46" s="1" t="s">
        <v>102</v>
      </c>
      <c r="C46" s="4">
        <v>0.1688</v>
      </c>
      <c r="D46" s="5">
        <f>IFERROR(1.95583/VLOOKUP(A46,INDIRECT("GBP"&amp;"!A:B"),2,FALSE),"")</f>
      </c>
      <c r="E46" s="6">
        <f>ROUND(C46*D46,2)</f>
      </c>
    </row>
    <row r="47" spans="1:5" s="1" customFormat="1" x14ac:dyDescent="0.25">
      <c r="A47" s="2" t="s">
        <v>76</v>
      </c>
      <c r="B47" s="1" t="s">
        <v>103</v>
      </c>
      <c r="C47" s="4">
        <v>-0.0723</v>
      </c>
      <c r="D47" s="5">
        <f>IFERROR(1.95583/VLOOKUP(A47,INDIRECT("GBP"&amp;"!A:B"),2,FALSE),"")</f>
      </c>
      <c r="E47" s="6">
        <f>ROUND(C47*D47,2)</f>
      </c>
    </row>
    <row r="48" spans="1:5" s="1" customFormat="1" x14ac:dyDescent="0.25">
      <c r="A48" s="2" t="s">
        <v>122</v>
      </c>
      <c r="B48" s="1" t="s">
        <v>102</v>
      </c>
      <c r="C48" s="4">
        <v>0.1688</v>
      </c>
      <c r="D48" s="5">
        <f>IFERROR(1.95583/VLOOKUP(A48,INDIRECT("GBP"&amp;"!A:B"),2,FALSE),"")</f>
      </c>
      <c r="E48" s="6">
        <f>ROUND(C48*D48,2)</f>
      </c>
    </row>
    <row r="49" spans="1:5" s="1" customFormat="1" x14ac:dyDescent="0.25">
      <c r="A49" s="2" t="s">
        <v>122</v>
      </c>
      <c r="B49" s="1" t="s">
        <v>103</v>
      </c>
      <c r="C49" s="4">
        <v>-0.0723</v>
      </c>
      <c r="D49" s="5">
        <f>IFERROR(1.95583/VLOOKUP(A49,INDIRECT("GBP"&amp;"!A:B"),2,FALSE),"")</f>
      </c>
      <c r="E49" s="6">
        <f>ROUND(C49*D49,2)</f>
      </c>
    </row>
    <row r="50" spans="1:5" s="1" customFormat="1" x14ac:dyDescent="0.25">
      <c r="A50" s="2" t="s">
        <v>123</v>
      </c>
      <c r="B50" s="1" t="s">
        <v>102</v>
      </c>
      <c r="C50" s="4">
        <v>0.165</v>
      </c>
      <c r="D50" s="5">
        <f>IFERROR(1.95583/VLOOKUP(A50,INDIRECT("GBP"&amp;"!A:B"),2,FALSE),"")</f>
      </c>
      <c r="E50" s="6">
        <f>ROUND(C50*D50,2)</f>
      </c>
    </row>
    <row r="51" spans="1:5" s="1" customFormat="1" x14ac:dyDescent="0.25">
      <c r="A51" s="2" t="s">
        <v>123</v>
      </c>
      <c r="B51" s="1" t="s">
        <v>103</v>
      </c>
      <c r="C51" s="4">
        <v>-0.0707</v>
      </c>
      <c r="D51" s="5">
        <f>IFERROR(1.95583/VLOOKUP(A51,INDIRECT("GBP"&amp;"!A:B"),2,FALSE),"")</f>
      </c>
      <c r="E51" s="6">
        <f>ROUND(C51*D51,2)</f>
      </c>
    </row>
    <row r="52" spans="1:5" s="1" customFormat="1" x14ac:dyDescent="0.25">
      <c r="A52" s="2" t="s">
        <v>124</v>
      </c>
      <c r="B52" s="1" t="s">
        <v>102</v>
      </c>
      <c r="C52" s="4">
        <v>0.165</v>
      </c>
      <c r="D52" s="5">
        <f>IFERROR(1.95583/VLOOKUP(A52,INDIRECT("GBP"&amp;"!A:B"),2,FALSE),"")</f>
      </c>
      <c r="E52" s="6">
        <f>ROUND(C52*D52,2)</f>
      </c>
    </row>
    <row r="53" spans="1:5" s="1" customFormat="1" x14ac:dyDescent="0.25">
      <c r="A53" s="2" t="s">
        <v>124</v>
      </c>
      <c r="B53" s="1" t="s">
        <v>103</v>
      </c>
      <c r="C53" s="4">
        <v>-0.0707</v>
      </c>
      <c r="D53" s="5">
        <f>IFERROR(1.95583/VLOOKUP(A53,INDIRECT("GBP"&amp;"!A:B"),2,FALSE),"")</f>
      </c>
      <c r="E53" s="6">
        <f>ROUND(C53*D53,2)</f>
      </c>
    </row>
    <row r="54" spans="1:5" s="1" customFormat="1" x14ac:dyDescent="0.25">
      <c r="A54" s="2" t="s">
        <v>125</v>
      </c>
      <c r="B54" s="1" t="s">
        <v>102</v>
      </c>
      <c r="C54" s="4">
        <v>0.165</v>
      </c>
      <c r="D54" s="5">
        <f>IFERROR(1.95583/VLOOKUP(A54,INDIRECT("GBP"&amp;"!A:B"),2,FALSE),"")</f>
      </c>
      <c r="E54" s="6">
        <f>ROUND(C54*D54,2)</f>
      </c>
    </row>
    <row r="55" spans="1:5" s="1" customFormat="1" x14ac:dyDescent="0.25">
      <c r="A55" s="2" t="s">
        <v>125</v>
      </c>
      <c r="B55" s="1" t="s">
        <v>103</v>
      </c>
      <c r="C55" s="4">
        <v>-0.0707</v>
      </c>
      <c r="D55" s="5">
        <f>IFERROR(1.95583/VLOOKUP(A55,INDIRECT("GBP"&amp;"!A:B"),2,FALSE),"")</f>
      </c>
      <c r="E55" s="6">
        <f>ROUND(C55*D55,2)</f>
      </c>
    </row>
    <row r="56" spans="1:5" s="1" customFormat="1" x14ac:dyDescent="0.25">
      <c r="A56" s="2" t="s">
        <v>126</v>
      </c>
      <c r="B56" s="1" t="s">
        <v>102</v>
      </c>
      <c r="C56" s="4">
        <v>0.165</v>
      </c>
      <c r="D56" s="5">
        <f>IFERROR(1.95583/VLOOKUP(A56,INDIRECT("GBP"&amp;"!A:B"),2,FALSE),"")</f>
      </c>
      <c r="E56" s="6">
        <f>ROUND(C56*D56,2)</f>
      </c>
    </row>
    <row r="57" spans="1:5" s="1" customFormat="1" x14ac:dyDescent="0.25">
      <c r="A57" s="2" t="s">
        <v>126</v>
      </c>
      <c r="B57" s="1" t="s">
        <v>103</v>
      </c>
      <c r="C57" s="4">
        <v>-0.0707</v>
      </c>
      <c r="D57" s="5">
        <f>IFERROR(1.95583/VLOOKUP(A57,INDIRECT("GBP"&amp;"!A:B"),2,FALSE),"")</f>
      </c>
      <c r="E57" s="6">
        <f>ROUND(C57*D57,2)</f>
      </c>
    </row>
    <row r="58" spans="1:5" s="1" customFormat="1" x14ac:dyDescent="0.25">
      <c r="A58" s="2" t="s">
        <v>127</v>
      </c>
      <c r="B58" s="1" t="s">
        <v>102</v>
      </c>
      <c r="C58" s="4">
        <v>0.1622</v>
      </c>
      <c r="D58" s="5">
        <f>IFERROR(1.95583/VLOOKUP(A58,INDIRECT("GBP"&amp;"!A:B"),2,FALSE),"")</f>
      </c>
      <c r="E58" s="6">
        <f>ROUND(C58*D58,2)</f>
      </c>
    </row>
    <row r="59" spans="1:5" s="1" customFormat="1" x14ac:dyDescent="0.25">
      <c r="A59" s="2" t="s">
        <v>127</v>
      </c>
      <c r="B59" s="1" t="s">
        <v>103</v>
      </c>
      <c r="C59" s="4">
        <v>-0.0695</v>
      </c>
      <c r="D59" s="5">
        <f>IFERROR(1.95583/VLOOKUP(A59,INDIRECT("GBP"&amp;"!A:B"),2,FALSE),"")</f>
      </c>
      <c r="E59" s="6">
        <f>ROUND(C59*D59,2)</f>
      </c>
    </row>
    <row r="60" spans="1:5" s="1" customFormat="1" x14ac:dyDescent="0.25">
      <c r="A60" s="2" t="s">
        <v>75</v>
      </c>
      <c r="B60" s="1" t="s">
        <v>102</v>
      </c>
      <c r="C60" s="4">
        <v>0.1622</v>
      </c>
      <c r="D60" s="5">
        <f>IFERROR(1.95583/VLOOKUP(A60,INDIRECT("GBP"&amp;"!A:B"),2,FALSE),"")</f>
      </c>
      <c r="E60" s="6">
        <f>ROUND(C60*D60,2)</f>
      </c>
    </row>
    <row r="61" spans="1:5" s="1" customFormat="1" x14ac:dyDescent="0.25">
      <c r="A61" s="2" t="s">
        <v>75</v>
      </c>
      <c r="B61" s="1" t="s">
        <v>103</v>
      </c>
      <c r="C61" s="4">
        <v>-0.0695</v>
      </c>
      <c r="D61" s="5">
        <f>IFERROR(1.95583/VLOOKUP(A61,INDIRECT("GBP"&amp;"!A:B"),2,FALSE),"")</f>
      </c>
      <c r="E61" s="6">
        <f>ROUND(C61*D61,2)</f>
      </c>
    </row>
    <row r="62" spans="1:5" s="1" customFormat="1" x14ac:dyDescent="0.25">
      <c r="A62" s="2" t="s">
        <v>128</v>
      </c>
      <c r="B62" s="1" t="s">
        <v>102</v>
      </c>
      <c r="C62" s="4">
        <v>0.1622</v>
      </c>
      <c r="D62" s="5">
        <f>IFERROR(1.95583/VLOOKUP(A62,INDIRECT("GBP"&amp;"!A:B"),2,FALSE),"")</f>
      </c>
      <c r="E62" s="6">
        <f>ROUND(C62*D62,2)</f>
      </c>
    </row>
    <row r="63" spans="1:5" s="1" customFormat="1" x14ac:dyDescent="0.25">
      <c r="A63" s="2" t="s">
        <v>128</v>
      </c>
      <c r="B63" s="1" t="s">
        <v>103</v>
      </c>
      <c r="C63" s="4">
        <v>-0.0695</v>
      </c>
      <c r="D63" s="5">
        <f>IFERROR(1.95583/VLOOKUP(A63,INDIRECT("GBP"&amp;"!A:B"),2,FALSE),"")</f>
      </c>
      <c r="E63" s="6">
        <f>ROUND(C63*D63,2)</f>
      </c>
    </row>
    <row r="64" spans="1:5" s="1" customFormat="1" x14ac:dyDescent="0.25">
      <c r="A64" s="2" t="s">
        <v>129</v>
      </c>
      <c r="B64" s="1" t="s">
        <v>102</v>
      </c>
      <c r="C64" s="4">
        <v>0.158</v>
      </c>
      <c r="D64" s="5">
        <f>IFERROR(1.95583/VLOOKUP(A64,INDIRECT("GBP"&amp;"!A:B"),2,FALSE),"")</f>
      </c>
      <c r="E64" s="6">
        <f>ROUND(C64*D64,2)</f>
      </c>
    </row>
    <row r="65" spans="1:5" s="1" customFormat="1" x14ac:dyDescent="0.25">
      <c r="A65" s="2" t="s">
        <v>129</v>
      </c>
      <c r="B65" s="1" t="s">
        <v>103</v>
      </c>
      <c r="C65" s="4">
        <v>-0.0677</v>
      </c>
      <c r="D65" s="5">
        <f>IFERROR(1.95583/VLOOKUP(A65,INDIRECT("GBP"&amp;"!A:B"),2,FALSE),"")</f>
      </c>
      <c r="E65" s="6">
        <f>ROUND(C65*D65,2)</f>
      </c>
    </row>
    <row r="66" spans="1:5" s="1" customFormat="1" x14ac:dyDescent="0.25">
      <c r="A66" s="2" t="s">
        <v>130</v>
      </c>
      <c r="B66" s="1" t="s">
        <v>102</v>
      </c>
      <c r="C66" s="4">
        <v>0.158</v>
      </c>
      <c r="D66" s="5">
        <f>IFERROR(1.95583/VLOOKUP(A66,INDIRECT("GBP"&amp;"!A:B"),2,FALSE),"")</f>
      </c>
      <c r="E66" s="6">
        <f>ROUND(C66*D66,2)</f>
      </c>
    </row>
    <row r="67" spans="1:5" s="1" customFormat="1" x14ac:dyDescent="0.25">
      <c r="A67" s="2" t="s">
        <v>130</v>
      </c>
      <c r="B67" s="1" t="s">
        <v>103</v>
      </c>
      <c r="C67" s="4">
        <v>-0.0677</v>
      </c>
      <c r="D67" s="5">
        <f>IFERROR(1.95583/VLOOKUP(A67,INDIRECT("GBP"&amp;"!A:B"),2,FALSE),"")</f>
      </c>
      <c r="E67" s="6">
        <f>ROUND(C67*D67,2)</f>
      </c>
    </row>
    <row r="68" spans="1:5" s="1" customFormat="1" x14ac:dyDescent="0.25">
      <c r="A68" s="2" t="s">
        <v>131</v>
      </c>
      <c r="B68" s="1" t="s">
        <v>102</v>
      </c>
      <c r="C68" s="4">
        <v>0.158</v>
      </c>
      <c r="D68" s="5">
        <f>IFERROR(1.95583/VLOOKUP(A68,INDIRECT("GBP"&amp;"!A:B"),2,FALSE),"")</f>
      </c>
      <c r="E68" s="6">
        <f>ROUND(C68*D68,2)</f>
      </c>
    </row>
    <row r="69" spans="1:5" s="1" customFormat="1" x14ac:dyDescent="0.25">
      <c r="A69" s="2" t="s">
        <v>131</v>
      </c>
      <c r="B69" s="1" t="s">
        <v>103</v>
      </c>
      <c r="C69" s="4">
        <v>-0.0677</v>
      </c>
      <c r="D69" s="5">
        <f>IFERROR(1.95583/VLOOKUP(A69,INDIRECT("GBP"&amp;"!A:B"),2,FALSE),"")</f>
      </c>
      <c r="E69" s="6">
        <f>ROUND(C69*D69,2)</f>
      </c>
    </row>
    <row r="70" spans="1:5" s="1" customFormat="1" x14ac:dyDescent="0.25">
      <c r="A70" s="2" t="s">
        <v>132</v>
      </c>
      <c r="B70" s="1" t="s">
        <v>102</v>
      </c>
      <c r="C70" s="4">
        <v>0.1544</v>
      </c>
      <c r="D70" s="5">
        <f>IFERROR(1.95583/VLOOKUP(A70,INDIRECT("GBP"&amp;"!A:B"),2,FALSE),"")</f>
      </c>
      <c r="E70" s="6">
        <f>ROUND(C70*D70,2)</f>
      </c>
    </row>
    <row r="71" spans="1:5" s="1" customFormat="1" x14ac:dyDescent="0.25">
      <c r="A71" s="2" t="s">
        <v>132</v>
      </c>
      <c r="B71" s="1" t="s">
        <v>103</v>
      </c>
      <c r="C71" s="4">
        <v>-0.0662</v>
      </c>
      <c r="D71" s="5">
        <f>IFERROR(1.95583/VLOOKUP(A71,INDIRECT("GBP"&amp;"!A:B"),2,FALSE),"")</f>
      </c>
      <c r="E71" s="6">
        <f>ROUND(C71*D71,2)</f>
      </c>
    </row>
    <row r="72" spans="1:5" s="1" customFormat="1" x14ac:dyDescent="0.25">
      <c r="A72" s="2" t="s">
        <v>47</v>
      </c>
      <c r="B72" s="1" t="s">
        <v>102</v>
      </c>
      <c r="C72" s="4">
        <v>0.1544</v>
      </c>
      <c r="D72" s="5">
        <f>IFERROR(1.95583/VLOOKUP(A72,INDIRECT("GBP"&amp;"!A:B"),2,FALSE),"")</f>
      </c>
      <c r="E72" s="6">
        <f>ROUND(C72*D72,2)</f>
      </c>
    </row>
    <row r="73" spans="1:5" s="1" customFormat="1" x14ac:dyDescent="0.25">
      <c r="A73" s="2" t="s">
        <v>47</v>
      </c>
      <c r="B73" s="1" t="s">
        <v>103</v>
      </c>
      <c r="C73" s="4">
        <v>-0.0662</v>
      </c>
      <c r="D73" s="5">
        <f>IFERROR(1.95583/VLOOKUP(A73,INDIRECT("GBP"&amp;"!A:B"),2,FALSE),"")</f>
      </c>
      <c r="E73" s="6">
        <f>ROUND(C73*D73,2)</f>
      </c>
    </row>
    <row r="74" spans="1:5" s="1" customFormat="1" x14ac:dyDescent="0.25">
      <c r="A74" s="2" t="s">
        <v>133</v>
      </c>
      <c r="B74" s="1" t="s">
        <v>102</v>
      </c>
      <c r="C74" s="4">
        <v>0.1544</v>
      </c>
      <c r="D74" s="5">
        <f>IFERROR(1.95583/VLOOKUP(A74,INDIRECT("GBP"&amp;"!A:B"),2,FALSE),"")</f>
      </c>
      <c r="E74" s="6">
        <f>ROUND(C74*D74,2)</f>
      </c>
    </row>
    <row r="75" spans="1:5" s="1" customFormat="1" x14ac:dyDescent="0.25">
      <c r="A75" s="2" t="s">
        <v>133</v>
      </c>
      <c r="B75" s="1" t="s">
        <v>103</v>
      </c>
      <c r="C75" s="4">
        <v>-0.0662</v>
      </c>
      <c r="D75" s="5">
        <f>IFERROR(1.95583/VLOOKUP(A75,INDIRECT("GBP"&amp;"!A:B"),2,FALSE),"")</f>
      </c>
      <c r="E75" s="6">
        <f>ROUND(C75*D75,2)</f>
      </c>
    </row>
    <row r="76" spans="1:5" s="7" customFormat="1" x14ac:dyDescent="0.25">
      <c r="A76" s="7" t="s">
        <v>7</v>
      </c>
      <c r="B76" s="7"/>
      <c r="C76" s="8">
        <f>SUM(C2:C75)</f>
      </c>
      <c r="D76" s="7"/>
      <c r="E76" s="9">
        <f>SUM(E2:E75)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2" customWidth="1"/>
    <col min="2" max="2" width="30" customWidth="1"/>
    <col min="3" max="4" width="12" customWidth="1"/>
    <col min="5" max="5" width="14" customWidth="1"/>
  </cols>
  <sheetData>
    <row r="1" spans="1:5" x14ac:dyDescent="0.25">
      <c r="A1" s="1" t="s">
        <v>66</v>
      </c>
      <c r="B1" s="1" t="s">
        <v>98</v>
      </c>
      <c r="C1" s="1" t="s">
        <v>99</v>
      </c>
      <c r="D1" s="1" t="s">
        <v>91</v>
      </c>
      <c r="E1" s="1" t="s">
        <v>100</v>
      </c>
    </row>
    <row r="2" spans="1:5" s="1" customFormat="1" x14ac:dyDescent="0.25">
      <c r="A2" s="2" t="s">
        <v>101</v>
      </c>
      <c r="B2" s="1" t="s">
        <v>102</v>
      </c>
      <c r="C2" s="4">
        <v>0.3215</v>
      </c>
      <c r="D2" s="5">
        <v>1.95583</v>
      </c>
      <c r="E2" s="6">
        <f>ROUND(C2*D2,2)</f>
      </c>
    </row>
    <row r="3" spans="1:5" s="1" customFormat="1" x14ac:dyDescent="0.25">
      <c r="A3" s="2" t="s">
        <v>101</v>
      </c>
      <c r="B3" s="1" t="s">
        <v>103</v>
      </c>
      <c r="C3" s="4">
        <v>-0.1378</v>
      </c>
      <c r="D3" s="5">
        <v>1.95583</v>
      </c>
      <c r="E3" s="6">
        <f>ROUND(C3*D3,2)</f>
      </c>
    </row>
    <row r="4" spans="1:5" s="1" customFormat="1" x14ac:dyDescent="0.25">
      <c r="A4" s="2" t="s">
        <v>104</v>
      </c>
      <c r="B4" s="1" t="s">
        <v>102</v>
      </c>
      <c r="C4" s="4">
        <v>0.3215</v>
      </c>
      <c r="D4" s="5">
        <v>1.95583</v>
      </c>
      <c r="E4" s="6">
        <f>ROUND(C4*D4,2)</f>
      </c>
    </row>
    <row r="5" spans="1:5" s="1" customFormat="1" x14ac:dyDescent="0.25">
      <c r="A5" s="2" t="s">
        <v>104</v>
      </c>
      <c r="B5" s="1" t="s">
        <v>103</v>
      </c>
      <c r="C5" s="4">
        <v>-0.1378</v>
      </c>
      <c r="D5" s="5">
        <v>1.95583</v>
      </c>
      <c r="E5" s="6">
        <f>ROUND(C5*D5,2)</f>
      </c>
    </row>
    <row r="6" spans="1:5" s="1" customFormat="1" x14ac:dyDescent="0.25">
      <c r="A6" s="2" t="s">
        <v>105</v>
      </c>
      <c r="B6" s="1" t="s">
        <v>102</v>
      </c>
      <c r="C6" s="4">
        <v>0.3215</v>
      </c>
      <c r="D6" s="5">
        <v>1.95583</v>
      </c>
      <c r="E6" s="6">
        <f>ROUND(C6*D6,2)</f>
      </c>
    </row>
    <row r="7" spans="1:5" s="1" customFormat="1" x14ac:dyDescent="0.25">
      <c r="A7" s="2" t="s">
        <v>105</v>
      </c>
      <c r="B7" s="1" t="s">
        <v>103</v>
      </c>
      <c r="C7" s="4">
        <v>-0.1378</v>
      </c>
      <c r="D7" s="5">
        <v>1.95583</v>
      </c>
      <c r="E7" s="6">
        <f>ROUND(C7*D7,2)</f>
      </c>
    </row>
    <row r="8" spans="1:5" s="1" customFormat="1" x14ac:dyDescent="0.25">
      <c r="A8" s="2" t="s">
        <v>78</v>
      </c>
      <c r="B8" s="1" t="s">
        <v>102</v>
      </c>
      <c r="C8" s="4">
        <v>0.3215</v>
      </c>
      <c r="D8" s="5">
        <v>1.95583</v>
      </c>
      <c r="E8" s="6">
        <f>ROUND(C8*D8,2)</f>
      </c>
    </row>
    <row r="9" spans="1:5" s="1" customFormat="1" x14ac:dyDescent="0.25">
      <c r="A9" s="2" t="s">
        <v>78</v>
      </c>
      <c r="B9" s="1" t="s">
        <v>103</v>
      </c>
      <c r="C9" s="4">
        <v>-0.1378</v>
      </c>
      <c r="D9" s="5">
        <v>1.95583</v>
      </c>
      <c r="E9" s="6">
        <f>ROUND(C9*D9,2)</f>
      </c>
    </row>
    <row r="10" spans="1:5" s="1" customFormat="1" x14ac:dyDescent="0.25">
      <c r="A10" s="2" t="s">
        <v>107</v>
      </c>
      <c r="B10" s="1" t="s">
        <v>102</v>
      </c>
      <c r="C10" s="4">
        <v>0.3215</v>
      </c>
      <c r="D10" s="5">
        <v>1.95583</v>
      </c>
      <c r="E10" s="6">
        <f>ROUND(C10*D10,2)</f>
      </c>
    </row>
    <row r="11" spans="1:5" s="1" customFormat="1" x14ac:dyDescent="0.25">
      <c r="A11" s="2" t="s">
        <v>107</v>
      </c>
      <c r="B11" s="1" t="s">
        <v>103</v>
      </c>
      <c r="C11" s="4">
        <v>-0.1378</v>
      </c>
      <c r="D11" s="5">
        <v>1.95583</v>
      </c>
      <c r="E11" s="6">
        <f>ROUND(C11*D11,2)</f>
      </c>
    </row>
    <row r="12" spans="1:5" s="1" customFormat="1" x14ac:dyDescent="0.25">
      <c r="A12" s="2" t="s">
        <v>108</v>
      </c>
      <c r="B12" s="1" t="s">
        <v>102</v>
      </c>
      <c r="C12" s="4">
        <v>0.318</v>
      </c>
      <c r="D12" s="5">
        <v>1.95583</v>
      </c>
      <c r="E12" s="6">
        <f>ROUND(C12*D12,2)</f>
      </c>
    </row>
    <row r="13" spans="1:5" s="1" customFormat="1" x14ac:dyDescent="0.25">
      <c r="A13" s="2" t="s">
        <v>108</v>
      </c>
      <c r="B13" s="1" t="s">
        <v>103</v>
      </c>
      <c r="C13" s="4">
        <v>-0.1363</v>
      </c>
      <c r="D13" s="5">
        <v>1.95583</v>
      </c>
      <c r="E13" s="6">
        <f>ROUND(C13*D13,2)</f>
      </c>
    </row>
    <row r="14" spans="1:5" s="1" customFormat="1" x14ac:dyDescent="0.25">
      <c r="A14" s="2" t="s">
        <v>109</v>
      </c>
      <c r="B14" s="1" t="s">
        <v>102</v>
      </c>
      <c r="C14" s="4">
        <v>0.318</v>
      </c>
      <c r="D14" s="5">
        <v>1.95583</v>
      </c>
      <c r="E14" s="6">
        <f>ROUND(C14*D14,2)</f>
      </c>
    </row>
    <row r="15" spans="1:5" s="1" customFormat="1" x14ac:dyDescent="0.25">
      <c r="A15" s="2" t="s">
        <v>109</v>
      </c>
      <c r="B15" s="1" t="s">
        <v>103</v>
      </c>
      <c r="C15" s="4">
        <v>-0.1363</v>
      </c>
      <c r="D15" s="5">
        <v>1.95583</v>
      </c>
      <c r="E15" s="6">
        <f>ROUND(C15*D15,2)</f>
      </c>
    </row>
    <row r="16" spans="1:5" s="1" customFormat="1" x14ac:dyDescent="0.25">
      <c r="A16" s="2" t="s">
        <v>110</v>
      </c>
      <c r="B16" s="1" t="s">
        <v>102</v>
      </c>
      <c r="C16" s="4">
        <v>0.318</v>
      </c>
      <c r="D16" s="5">
        <v>1.95583</v>
      </c>
      <c r="E16" s="6">
        <f>ROUND(C16*D16,2)</f>
      </c>
    </row>
    <row r="17" spans="1:5" s="1" customFormat="1" x14ac:dyDescent="0.25">
      <c r="A17" s="2" t="s">
        <v>110</v>
      </c>
      <c r="B17" s="1" t="s">
        <v>103</v>
      </c>
      <c r="C17" s="4">
        <v>-0.1363</v>
      </c>
      <c r="D17" s="5">
        <v>1.95583</v>
      </c>
      <c r="E17" s="6">
        <f>ROUND(C17*D17,2)</f>
      </c>
    </row>
    <row r="18" spans="1:5" s="1" customFormat="1" x14ac:dyDescent="0.25">
      <c r="A18" s="2" t="s">
        <v>111</v>
      </c>
      <c r="B18" s="1" t="s">
        <v>102</v>
      </c>
      <c r="C18" s="4">
        <v>0.3142</v>
      </c>
      <c r="D18" s="5">
        <v>1.95583</v>
      </c>
      <c r="E18" s="6">
        <f>ROUND(C18*D18,2)</f>
      </c>
    </row>
    <row r="19" spans="1:5" s="1" customFormat="1" x14ac:dyDescent="0.25">
      <c r="A19" s="2" t="s">
        <v>111</v>
      </c>
      <c r="B19" s="1" t="s">
        <v>103</v>
      </c>
      <c r="C19" s="4">
        <v>-0.1347</v>
      </c>
      <c r="D19" s="5">
        <v>1.95583</v>
      </c>
      <c r="E19" s="6">
        <f>ROUND(C19*D19,2)</f>
      </c>
    </row>
    <row r="20" spans="1:5" s="1" customFormat="1" x14ac:dyDescent="0.25">
      <c r="A20" s="2" t="s">
        <v>112</v>
      </c>
      <c r="B20" s="1" t="s">
        <v>102</v>
      </c>
      <c r="C20" s="4">
        <v>0.3142</v>
      </c>
      <c r="D20" s="5">
        <v>1.95583</v>
      </c>
      <c r="E20" s="6">
        <f>ROUND(C20*D20,2)</f>
      </c>
    </row>
    <row r="21" spans="1:5" s="1" customFormat="1" x14ac:dyDescent="0.25">
      <c r="A21" s="2" t="s">
        <v>112</v>
      </c>
      <c r="B21" s="1" t="s">
        <v>103</v>
      </c>
      <c r="C21" s="4">
        <v>-0.1347</v>
      </c>
      <c r="D21" s="5">
        <v>1.95583</v>
      </c>
      <c r="E21" s="6">
        <f>ROUND(C21*D21,2)</f>
      </c>
    </row>
    <row r="22" spans="1:5" s="1" customFormat="1" x14ac:dyDescent="0.25">
      <c r="A22" s="2" t="s">
        <v>113</v>
      </c>
      <c r="B22" s="1" t="s">
        <v>102</v>
      </c>
      <c r="C22" s="4">
        <v>0.3142</v>
      </c>
      <c r="D22" s="5">
        <v>1.95583</v>
      </c>
      <c r="E22" s="6">
        <f>ROUND(C22*D22,2)</f>
      </c>
    </row>
    <row r="23" spans="1:5" s="1" customFormat="1" x14ac:dyDescent="0.25">
      <c r="A23" s="2" t="s">
        <v>113</v>
      </c>
      <c r="B23" s="1" t="s">
        <v>103</v>
      </c>
      <c r="C23" s="4">
        <v>-0.1347</v>
      </c>
      <c r="D23" s="5">
        <v>1.95583</v>
      </c>
      <c r="E23" s="6">
        <f>ROUND(C23*D23,2)</f>
      </c>
    </row>
    <row r="24" spans="1:5" s="1" customFormat="1" x14ac:dyDescent="0.25">
      <c r="A24" s="2" t="s">
        <v>114</v>
      </c>
      <c r="B24" s="1" t="s">
        <v>102</v>
      </c>
      <c r="C24" s="4">
        <v>0.3088</v>
      </c>
      <c r="D24" s="5">
        <v>1.95583</v>
      </c>
      <c r="E24" s="6">
        <f>ROUND(C24*D24,2)</f>
      </c>
    </row>
    <row r="25" spans="1:5" s="1" customFormat="1" x14ac:dyDescent="0.25">
      <c r="A25" s="2" t="s">
        <v>114</v>
      </c>
      <c r="B25" s="1" t="s">
        <v>103</v>
      </c>
      <c r="C25" s="4">
        <v>-0.1323</v>
      </c>
      <c r="D25" s="5">
        <v>1.95583</v>
      </c>
      <c r="E25" s="6">
        <f>ROUND(C25*D25,2)</f>
      </c>
    </row>
    <row r="26" spans="1:5" s="1" customFormat="1" x14ac:dyDescent="0.25">
      <c r="A26" s="2" t="s">
        <v>77</v>
      </c>
      <c r="B26" s="1" t="s">
        <v>102</v>
      </c>
      <c r="C26" s="4">
        <v>0.3088</v>
      </c>
      <c r="D26" s="5">
        <v>1.95583</v>
      </c>
      <c r="E26" s="6">
        <f>ROUND(C26*D26,2)</f>
      </c>
    </row>
    <row r="27" spans="1:5" s="1" customFormat="1" x14ac:dyDescent="0.25">
      <c r="A27" s="2" t="s">
        <v>77</v>
      </c>
      <c r="B27" s="1" t="s">
        <v>103</v>
      </c>
      <c r="C27" s="4">
        <v>-0.1323</v>
      </c>
      <c r="D27" s="5">
        <v>1.95583</v>
      </c>
      <c r="E27" s="6">
        <f>ROUND(C27*D27,2)</f>
      </c>
    </row>
    <row r="28" spans="1:5" s="1" customFormat="1" x14ac:dyDescent="0.25">
      <c r="A28" s="2" t="s">
        <v>115</v>
      </c>
      <c r="B28" s="1" t="s">
        <v>102</v>
      </c>
      <c r="C28" s="4">
        <v>0.3088</v>
      </c>
      <c r="D28" s="5">
        <v>1.95583</v>
      </c>
      <c r="E28" s="6">
        <f>ROUND(C28*D28,2)</f>
      </c>
    </row>
    <row r="29" spans="1:5" s="1" customFormat="1" x14ac:dyDescent="0.25">
      <c r="A29" s="2" t="s">
        <v>115</v>
      </c>
      <c r="B29" s="1" t="s">
        <v>103</v>
      </c>
      <c r="C29" s="4">
        <v>-0.1323</v>
      </c>
      <c r="D29" s="5">
        <v>1.95583</v>
      </c>
      <c r="E29" s="6">
        <f>ROUND(C29*D29,2)</f>
      </c>
    </row>
    <row r="30" spans="1:5" s="1" customFormat="1" x14ac:dyDescent="0.25">
      <c r="A30" s="2" t="s">
        <v>116</v>
      </c>
      <c r="B30" s="1" t="s">
        <v>102</v>
      </c>
      <c r="C30" s="4">
        <v>0.3055</v>
      </c>
      <c r="D30" s="5">
        <v>1.95583</v>
      </c>
      <c r="E30" s="6">
        <f>ROUND(C30*D30,2)</f>
      </c>
    </row>
    <row r="31" spans="1:5" s="1" customFormat="1" x14ac:dyDescent="0.25">
      <c r="A31" s="2" t="s">
        <v>116</v>
      </c>
      <c r="B31" s="1" t="s">
        <v>103</v>
      </c>
      <c r="C31" s="4">
        <v>-0.1309</v>
      </c>
      <c r="D31" s="5">
        <v>1.95583</v>
      </c>
      <c r="E31" s="6">
        <f>ROUND(C31*D31,2)</f>
      </c>
    </row>
    <row r="32" spans="1:5" s="1" customFormat="1" x14ac:dyDescent="0.25">
      <c r="A32" s="2" t="s">
        <v>117</v>
      </c>
      <c r="B32" s="1" t="s">
        <v>102</v>
      </c>
      <c r="C32" s="4">
        <v>0.3055</v>
      </c>
      <c r="D32" s="5">
        <v>1.95583</v>
      </c>
      <c r="E32" s="6">
        <f>ROUND(C32*D32,2)</f>
      </c>
    </row>
    <row r="33" spans="1:5" s="1" customFormat="1" x14ac:dyDescent="0.25">
      <c r="A33" s="2" t="s">
        <v>117</v>
      </c>
      <c r="B33" s="1" t="s">
        <v>103</v>
      </c>
      <c r="C33" s="4">
        <v>-0.1309</v>
      </c>
      <c r="D33" s="5">
        <v>1.95583</v>
      </c>
      <c r="E33" s="6">
        <f>ROUND(C33*D33,2)</f>
      </c>
    </row>
    <row r="34" spans="1:5" s="1" customFormat="1" x14ac:dyDescent="0.25">
      <c r="A34" s="2" t="s">
        <v>118</v>
      </c>
      <c r="B34" s="1" t="s">
        <v>102</v>
      </c>
      <c r="C34" s="4">
        <v>0.3055</v>
      </c>
      <c r="D34" s="5">
        <v>1.95583</v>
      </c>
      <c r="E34" s="6">
        <f>ROUND(C34*D34,2)</f>
      </c>
    </row>
    <row r="35" spans="1:5" s="1" customFormat="1" x14ac:dyDescent="0.25">
      <c r="A35" s="2" t="s">
        <v>118</v>
      </c>
      <c r="B35" s="1" t="s">
        <v>103</v>
      </c>
      <c r="C35" s="4">
        <v>-0.1309</v>
      </c>
      <c r="D35" s="5">
        <v>1.95583</v>
      </c>
      <c r="E35" s="6">
        <f>ROUND(C35*D35,2)</f>
      </c>
    </row>
    <row r="36" spans="1:5" s="1" customFormat="1" x14ac:dyDescent="0.25">
      <c r="A36" s="2" t="s">
        <v>119</v>
      </c>
      <c r="B36" s="1" t="s">
        <v>102</v>
      </c>
      <c r="C36" s="4">
        <v>0.2988</v>
      </c>
      <c r="D36" s="5">
        <v>1.95583</v>
      </c>
      <c r="E36" s="6">
        <f>ROUND(C36*D36,2)</f>
      </c>
    </row>
    <row r="37" spans="1:5" s="1" customFormat="1" x14ac:dyDescent="0.25">
      <c r="A37" s="2" t="s">
        <v>119</v>
      </c>
      <c r="B37" s="1" t="s">
        <v>103</v>
      </c>
      <c r="C37" s="4">
        <v>-0.128</v>
      </c>
      <c r="D37" s="5">
        <v>1.95583</v>
      </c>
      <c r="E37" s="6">
        <f>ROUND(C37*D37,2)</f>
      </c>
    </row>
    <row r="38" spans="1:5" s="1" customFormat="1" x14ac:dyDescent="0.25">
      <c r="A38" s="2" t="s">
        <v>89</v>
      </c>
      <c r="B38" s="1" t="s">
        <v>102</v>
      </c>
      <c r="C38" s="4">
        <v>0.2988</v>
      </c>
      <c r="D38" s="5">
        <v>1.95583</v>
      </c>
      <c r="E38" s="6">
        <f>ROUND(C38*D38,2)</f>
      </c>
    </row>
    <row r="39" spans="1:5" s="1" customFormat="1" x14ac:dyDescent="0.25">
      <c r="A39" s="2" t="s">
        <v>89</v>
      </c>
      <c r="B39" s="1" t="s">
        <v>103</v>
      </c>
      <c r="C39" s="4">
        <v>-0.128</v>
      </c>
      <c r="D39" s="5">
        <v>1.95583</v>
      </c>
      <c r="E39" s="6">
        <f>ROUND(C39*D39,2)</f>
      </c>
    </row>
    <row r="40" spans="1:5" s="1" customFormat="1" x14ac:dyDescent="0.25">
      <c r="A40" s="2" t="s">
        <v>120</v>
      </c>
      <c r="B40" s="1" t="s">
        <v>102</v>
      </c>
      <c r="C40" s="4">
        <v>0.2988</v>
      </c>
      <c r="D40" s="5">
        <v>1.95583</v>
      </c>
      <c r="E40" s="6">
        <f>ROUND(C40*D40,2)</f>
      </c>
    </row>
    <row r="41" spans="1:5" s="1" customFormat="1" x14ac:dyDescent="0.25">
      <c r="A41" s="2" t="s">
        <v>120</v>
      </c>
      <c r="B41" s="1" t="s">
        <v>103</v>
      </c>
      <c r="C41" s="4">
        <v>-0.128</v>
      </c>
      <c r="D41" s="5">
        <v>1.95583</v>
      </c>
      <c r="E41" s="6">
        <f>ROUND(C41*D41,2)</f>
      </c>
    </row>
    <row r="42" spans="1:5" s="1" customFormat="1" x14ac:dyDescent="0.25">
      <c r="A42" s="2" t="s">
        <v>121</v>
      </c>
      <c r="B42" s="1" t="s">
        <v>102</v>
      </c>
      <c r="C42" s="4">
        <v>0.2922</v>
      </c>
      <c r="D42" s="5">
        <v>1.95583</v>
      </c>
      <c r="E42" s="6">
        <f>ROUND(C42*D42,2)</f>
      </c>
    </row>
    <row r="43" spans="1:5" s="1" customFormat="1" x14ac:dyDescent="0.25">
      <c r="A43" s="2" t="s">
        <v>121</v>
      </c>
      <c r="B43" s="1" t="s">
        <v>103</v>
      </c>
      <c r="C43" s="4">
        <v>-0.1252</v>
      </c>
      <c r="D43" s="5">
        <v>1.95583</v>
      </c>
      <c r="E43" s="6">
        <f>ROUND(C43*D43,2)</f>
      </c>
    </row>
    <row r="44" spans="1:5" s="1" customFormat="1" x14ac:dyDescent="0.25">
      <c r="A44" s="2" t="s">
        <v>76</v>
      </c>
      <c r="B44" s="1" t="s">
        <v>102</v>
      </c>
      <c r="C44" s="4">
        <v>0.2922</v>
      </c>
      <c r="D44" s="5">
        <v>1.95583</v>
      </c>
      <c r="E44" s="6">
        <f>ROUND(C44*D44,2)</f>
      </c>
    </row>
    <row r="45" spans="1:5" s="1" customFormat="1" x14ac:dyDescent="0.25">
      <c r="A45" s="2" t="s">
        <v>76</v>
      </c>
      <c r="B45" s="1" t="s">
        <v>103</v>
      </c>
      <c r="C45" s="4">
        <v>-0.1252</v>
      </c>
      <c r="D45" s="5">
        <v>1.95583</v>
      </c>
      <c r="E45" s="6">
        <f>ROUND(C45*D45,2)</f>
      </c>
    </row>
    <row r="46" spans="1:5" s="1" customFormat="1" x14ac:dyDescent="0.25">
      <c r="A46" s="2" t="s">
        <v>122</v>
      </c>
      <c r="B46" s="1" t="s">
        <v>102</v>
      </c>
      <c r="C46" s="4">
        <v>0.2922</v>
      </c>
      <c r="D46" s="5">
        <v>1.95583</v>
      </c>
      <c r="E46" s="6">
        <f>ROUND(C46*D46,2)</f>
      </c>
    </row>
    <row r="47" spans="1:5" s="1" customFormat="1" x14ac:dyDescent="0.25">
      <c r="A47" s="2" t="s">
        <v>122</v>
      </c>
      <c r="B47" s="1" t="s">
        <v>103</v>
      </c>
      <c r="C47" s="4">
        <v>-0.1252</v>
      </c>
      <c r="D47" s="5">
        <v>1.95583</v>
      </c>
      <c r="E47" s="6">
        <f>ROUND(C47*D47,2)</f>
      </c>
    </row>
    <row r="48" spans="1:5" s="1" customFormat="1" x14ac:dyDescent="0.25">
      <c r="A48" s="2" t="s">
        <v>134</v>
      </c>
      <c r="B48" s="1" t="s">
        <v>102</v>
      </c>
      <c r="C48" s="4">
        <v>0.2865</v>
      </c>
      <c r="D48" s="5">
        <v>1.95583</v>
      </c>
      <c r="E48" s="6">
        <f>ROUND(C48*D48,2)</f>
      </c>
    </row>
    <row r="49" spans="1:5" s="1" customFormat="1" x14ac:dyDescent="0.25">
      <c r="A49" s="2" t="s">
        <v>134</v>
      </c>
      <c r="B49" s="1" t="s">
        <v>103</v>
      </c>
      <c r="C49" s="4">
        <v>-0.1228</v>
      </c>
      <c r="D49" s="5">
        <v>1.95583</v>
      </c>
      <c r="E49" s="6">
        <f>ROUND(C49*D49,2)</f>
      </c>
    </row>
    <row r="50" spans="1:5" s="1" customFormat="1" x14ac:dyDescent="0.25">
      <c r="A50" s="2" t="s">
        <v>135</v>
      </c>
      <c r="B50" s="1" t="s">
        <v>102</v>
      </c>
      <c r="C50" s="4">
        <v>0.2865</v>
      </c>
      <c r="D50" s="5">
        <v>1.95583</v>
      </c>
      <c r="E50" s="6">
        <f>ROUND(C50*D50,2)</f>
      </c>
    </row>
    <row r="51" spans="1:5" s="1" customFormat="1" x14ac:dyDescent="0.25">
      <c r="A51" s="2" t="s">
        <v>135</v>
      </c>
      <c r="B51" s="1" t="s">
        <v>103</v>
      </c>
      <c r="C51" s="4">
        <v>-0.1228</v>
      </c>
      <c r="D51" s="5">
        <v>1.95583</v>
      </c>
      <c r="E51" s="6">
        <f>ROUND(C51*D51,2)</f>
      </c>
    </row>
    <row r="52" spans="1:5" s="1" customFormat="1" x14ac:dyDescent="0.25">
      <c r="A52" s="2" t="s">
        <v>123</v>
      </c>
      <c r="B52" s="1" t="s">
        <v>102</v>
      </c>
      <c r="C52" s="4">
        <v>0.2865</v>
      </c>
      <c r="D52" s="5">
        <v>1.95583</v>
      </c>
      <c r="E52" s="6">
        <f>ROUND(C52*D52,2)</f>
      </c>
    </row>
    <row r="53" spans="1:5" s="1" customFormat="1" x14ac:dyDescent="0.25">
      <c r="A53" s="2" t="s">
        <v>123</v>
      </c>
      <c r="B53" s="1" t="s">
        <v>103</v>
      </c>
      <c r="C53" s="4">
        <v>-0.1228</v>
      </c>
      <c r="D53" s="5">
        <v>1.95583</v>
      </c>
      <c r="E53" s="6">
        <f>ROUND(C53*D53,2)</f>
      </c>
    </row>
    <row r="54" spans="1:5" s="1" customFormat="1" x14ac:dyDescent="0.25">
      <c r="A54" s="2" t="s">
        <v>124</v>
      </c>
      <c r="B54" s="1" t="s">
        <v>102</v>
      </c>
      <c r="C54" s="4">
        <v>0.281</v>
      </c>
      <c r="D54" s="5">
        <v>1.95583</v>
      </c>
      <c r="E54" s="6">
        <f>ROUND(C54*D54,2)</f>
      </c>
    </row>
    <row r="55" spans="1:5" s="1" customFormat="1" x14ac:dyDescent="0.25">
      <c r="A55" s="2" t="s">
        <v>124</v>
      </c>
      <c r="B55" s="1" t="s">
        <v>103</v>
      </c>
      <c r="C55" s="4">
        <v>-0.1204</v>
      </c>
      <c r="D55" s="5">
        <v>1.95583</v>
      </c>
      <c r="E55" s="6">
        <f>ROUND(C55*D55,2)</f>
      </c>
    </row>
    <row r="56" spans="1:5" s="1" customFormat="1" x14ac:dyDescent="0.25">
      <c r="A56" s="2" t="s">
        <v>125</v>
      </c>
      <c r="B56" s="1" t="s">
        <v>102</v>
      </c>
      <c r="C56" s="4">
        <v>0.281</v>
      </c>
      <c r="D56" s="5">
        <v>1.95583</v>
      </c>
      <c r="E56" s="6">
        <f>ROUND(C56*D56,2)</f>
      </c>
    </row>
    <row r="57" spans="1:5" s="1" customFormat="1" x14ac:dyDescent="0.25">
      <c r="A57" s="2" t="s">
        <v>125</v>
      </c>
      <c r="B57" s="1" t="s">
        <v>103</v>
      </c>
      <c r="C57" s="4">
        <v>-0.1204</v>
      </c>
      <c r="D57" s="5">
        <v>1.95583</v>
      </c>
      <c r="E57" s="6">
        <f>ROUND(C57*D57,2)</f>
      </c>
    </row>
    <row r="58" spans="1:5" s="1" customFormat="1" x14ac:dyDescent="0.25">
      <c r="A58" s="2" t="s">
        <v>126</v>
      </c>
      <c r="B58" s="1" t="s">
        <v>102</v>
      </c>
      <c r="C58" s="4">
        <v>0.281</v>
      </c>
      <c r="D58" s="5">
        <v>1.95583</v>
      </c>
      <c r="E58" s="6">
        <f>ROUND(C58*D58,2)</f>
      </c>
    </row>
    <row r="59" spans="1:5" s="1" customFormat="1" x14ac:dyDescent="0.25">
      <c r="A59" s="2" t="s">
        <v>126</v>
      </c>
      <c r="B59" s="1" t="s">
        <v>103</v>
      </c>
      <c r="C59" s="4">
        <v>-0.1204</v>
      </c>
      <c r="D59" s="5">
        <v>1.95583</v>
      </c>
      <c r="E59" s="6">
        <f>ROUND(C59*D59,2)</f>
      </c>
    </row>
    <row r="60" spans="1:5" s="1" customFormat="1" x14ac:dyDescent="0.25">
      <c r="A60" s="2" t="s">
        <v>127</v>
      </c>
      <c r="B60" s="1" t="s">
        <v>102</v>
      </c>
      <c r="C60" s="4">
        <v>0.2755</v>
      </c>
      <c r="D60" s="5">
        <v>1.95583</v>
      </c>
      <c r="E60" s="6">
        <f>ROUND(C60*D60,2)</f>
      </c>
    </row>
    <row r="61" spans="1:5" s="1" customFormat="1" x14ac:dyDescent="0.25">
      <c r="A61" s="2" t="s">
        <v>127</v>
      </c>
      <c r="B61" s="1" t="s">
        <v>103</v>
      </c>
      <c r="C61" s="4">
        <v>-0.118</v>
      </c>
      <c r="D61" s="5">
        <v>1.95583</v>
      </c>
      <c r="E61" s="6">
        <f>ROUND(C61*D61,2)</f>
      </c>
    </row>
    <row r="62" spans="1:5" s="1" customFormat="1" x14ac:dyDescent="0.25">
      <c r="A62" s="2" t="s">
        <v>75</v>
      </c>
      <c r="B62" s="1" t="s">
        <v>102</v>
      </c>
      <c r="C62" s="4">
        <v>0.2755</v>
      </c>
      <c r="D62" s="5">
        <v>1.95583</v>
      </c>
      <c r="E62" s="6">
        <f>ROUND(C62*D62,2)</f>
      </c>
    </row>
    <row r="63" spans="1:5" s="1" customFormat="1" x14ac:dyDescent="0.25">
      <c r="A63" s="2" t="s">
        <v>75</v>
      </c>
      <c r="B63" s="1" t="s">
        <v>103</v>
      </c>
      <c r="C63" s="4">
        <v>-0.118</v>
      </c>
      <c r="D63" s="5">
        <v>1.95583</v>
      </c>
      <c r="E63" s="6">
        <f>ROUND(C63*D63,2)</f>
      </c>
    </row>
    <row r="64" spans="1:5" s="1" customFormat="1" x14ac:dyDescent="0.25">
      <c r="A64" s="2" t="s">
        <v>128</v>
      </c>
      <c r="B64" s="1" t="s">
        <v>102</v>
      </c>
      <c r="C64" s="4">
        <v>0.2755</v>
      </c>
      <c r="D64" s="5">
        <v>1.95583</v>
      </c>
      <c r="E64" s="6">
        <f>ROUND(C64*D64,2)</f>
      </c>
    </row>
    <row r="65" spans="1:5" s="1" customFormat="1" x14ac:dyDescent="0.25">
      <c r="A65" s="2" t="s">
        <v>128</v>
      </c>
      <c r="B65" s="1" t="s">
        <v>103</v>
      </c>
      <c r="C65" s="4">
        <v>-0.118</v>
      </c>
      <c r="D65" s="5">
        <v>1.95583</v>
      </c>
      <c r="E65" s="6">
        <f>ROUND(C65*D65,2)</f>
      </c>
    </row>
    <row r="66" spans="1:5" s="1" customFormat="1" x14ac:dyDescent="0.25">
      <c r="A66" s="2" t="s">
        <v>129</v>
      </c>
      <c r="B66" s="1" t="s">
        <v>102</v>
      </c>
      <c r="C66" s="4">
        <v>0.2698</v>
      </c>
      <c r="D66" s="5">
        <v>1.95583</v>
      </c>
      <c r="E66" s="6">
        <f>ROUND(C66*D66,2)</f>
      </c>
    </row>
    <row r="67" spans="1:5" s="1" customFormat="1" x14ac:dyDescent="0.25">
      <c r="A67" s="2" t="s">
        <v>129</v>
      </c>
      <c r="B67" s="1" t="s">
        <v>103</v>
      </c>
      <c r="C67" s="4">
        <v>-0.1156</v>
      </c>
      <c r="D67" s="5">
        <v>1.95583</v>
      </c>
      <c r="E67" s="6">
        <f>ROUND(C67*D67,2)</f>
      </c>
    </row>
    <row r="68" spans="1:5" s="1" customFormat="1" x14ac:dyDescent="0.25">
      <c r="A68" s="2" t="s">
        <v>130</v>
      </c>
      <c r="B68" s="1" t="s">
        <v>102</v>
      </c>
      <c r="C68" s="4">
        <v>0.2698</v>
      </c>
      <c r="D68" s="5">
        <v>1.95583</v>
      </c>
      <c r="E68" s="6">
        <f>ROUND(C68*D68,2)</f>
      </c>
    </row>
    <row r="69" spans="1:5" s="1" customFormat="1" x14ac:dyDescent="0.25">
      <c r="A69" s="2" t="s">
        <v>130</v>
      </c>
      <c r="B69" s="1" t="s">
        <v>103</v>
      </c>
      <c r="C69" s="4">
        <v>-0.1156</v>
      </c>
      <c r="D69" s="5">
        <v>1.95583</v>
      </c>
      <c r="E69" s="6">
        <f>ROUND(C69*D69,2)</f>
      </c>
    </row>
    <row r="70" spans="1:5" s="1" customFormat="1" x14ac:dyDescent="0.25">
      <c r="A70" s="2" t="s">
        <v>131</v>
      </c>
      <c r="B70" s="1" t="s">
        <v>102</v>
      </c>
      <c r="C70" s="4">
        <v>0.2698</v>
      </c>
      <c r="D70" s="5">
        <v>1.95583</v>
      </c>
      <c r="E70" s="6">
        <f>ROUND(C70*D70,2)</f>
      </c>
    </row>
    <row r="71" spans="1:5" s="1" customFormat="1" x14ac:dyDescent="0.25">
      <c r="A71" s="2" t="s">
        <v>131</v>
      </c>
      <c r="B71" s="1" t="s">
        <v>103</v>
      </c>
      <c r="C71" s="4">
        <v>-0.1156</v>
      </c>
      <c r="D71" s="5">
        <v>1.95583</v>
      </c>
      <c r="E71" s="6">
        <f>ROUND(C71*D71,2)</f>
      </c>
    </row>
    <row r="72" spans="1:5" s="1" customFormat="1" x14ac:dyDescent="0.25">
      <c r="A72" s="2" t="s">
        <v>132</v>
      </c>
      <c r="B72" s="1" t="s">
        <v>102</v>
      </c>
      <c r="C72" s="4">
        <v>0.2642</v>
      </c>
      <c r="D72" s="5">
        <v>1.95583</v>
      </c>
      <c r="E72" s="6">
        <f>ROUND(C72*D72,2)</f>
      </c>
    </row>
    <row r="73" spans="1:5" s="1" customFormat="1" x14ac:dyDescent="0.25">
      <c r="A73" s="2" t="s">
        <v>132</v>
      </c>
      <c r="B73" s="1" t="s">
        <v>103</v>
      </c>
      <c r="C73" s="4">
        <v>-0.1132</v>
      </c>
      <c r="D73" s="5">
        <v>1.95583</v>
      </c>
      <c r="E73" s="6">
        <f>ROUND(C73*D73,2)</f>
      </c>
    </row>
    <row r="74" spans="1:5" s="1" customFormat="1" x14ac:dyDescent="0.25">
      <c r="A74" s="2" t="s">
        <v>47</v>
      </c>
      <c r="B74" s="1" t="s">
        <v>102</v>
      </c>
      <c r="C74" s="4">
        <v>0.2642</v>
      </c>
      <c r="D74" s="5">
        <v>1.95583</v>
      </c>
      <c r="E74" s="6">
        <f>ROUND(C74*D74,2)</f>
      </c>
    </row>
    <row r="75" spans="1:5" s="1" customFormat="1" x14ac:dyDescent="0.25">
      <c r="A75" s="2" t="s">
        <v>47</v>
      </c>
      <c r="B75" s="1" t="s">
        <v>103</v>
      </c>
      <c r="C75" s="4">
        <v>-0.1132</v>
      </c>
      <c r="D75" s="5">
        <v>1.95583</v>
      </c>
      <c r="E75" s="6">
        <f>ROUND(C75*D75,2)</f>
      </c>
    </row>
    <row r="76" spans="1:5" s="1" customFormat="1" x14ac:dyDescent="0.25">
      <c r="A76" s="2" t="s">
        <v>133</v>
      </c>
      <c r="B76" s="1" t="s">
        <v>102</v>
      </c>
      <c r="C76" s="4">
        <v>0.2642</v>
      </c>
      <c r="D76" s="5">
        <v>1.95583</v>
      </c>
      <c r="E76" s="6">
        <f>ROUND(C76*D76,2)</f>
      </c>
    </row>
    <row r="77" spans="1:5" s="1" customFormat="1" x14ac:dyDescent="0.25">
      <c r="A77" s="2" t="s">
        <v>133</v>
      </c>
      <c r="B77" s="1" t="s">
        <v>103</v>
      </c>
      <c r="C77" s="4">
        <v>-0.1132</v>
      </c>
      <c r="D77" s="5">
        <v>1.95583</v>
      </c>
      <c r="E77" s="6">
        <f>ROUND(C77*D77,2)</f>
      </c>
    </row>
    <row r="78" spans="1:5" s="7" customFormat="1" x14ac:dyDescent="0.25">
      <c r="A78" s="7" t="s">
        <v>7</v>
      </c>
      <c r="B78" s="7"/>
      <c r="C78" s="8">
        <f>SUM(C2:C77)</f>
      </c>
      <c r="D78" s="7"/>
      <c r="E78" s="9">
        <f>SUM(E2:E77)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0" customWidth="1"/>
    <col min="3" max="4" width="12" customWidth="1"/>
    <col min="5" max="5" width="14" customWidth="1"/>
  </cols>
  <sheetData>
    <row r="1" spans="1:5" x14ac:dyDescent="0.25">
      <c r="A1" s="1" t="s">
        <v>66</v>
      </c>
      <c r="B1" s="1" t="s">
        <v>98</v>
      </c>
      <c r="C1" s="1" t="s">
        <v>99</v>
      </c>
      <c r="D1" s="1" t="s">
        <v>91</v>
      </c>
      <c r="E1" s="1" t="s">
        <v>100</v>
      </c>
    </row>
    <row r="2" spans="1:5" s="1" customFormat="1" x14ac:dyDescent="0.25">
      <c r="A2" s="2" t="s">
        <v>136</v>
      </c>
      <c r="B2" s="1" t="s">
        <v>137</v>
      </c>
      <c r="C2" s="4">
        <v>20.12</v>
      </c>
      <c r="D2" s="5">
        <f>IFERROR(1.95583/VLOOKUP(A2,INDIRECT("USD"&amp;"!A:B"),2,FALSE),"")</f>
      </c>
      <c r="E2" s="6">
        <f>ROUND(C2*D2,2)</f>
      </c>
    </row>
    <row r="3" spans="1:5" s="1" customFormat="1" x14ac:dyDescent="0.25">
      <c r="A3" s="2" t="s">
        <v>138</v>
      </c>
      <c r="B3" s="1" t="s">
        <v>137</v>
      </c>
      <c r="C3" s="4">
        <v>19.45</v>
      </c>
      <c r="D3" s="5">
        <f>IFERROR(1.95583/VLOOKUP(A3,INDIRECT("USD"&amp;"!A:B"),2,FALSE),"")</f>
      </c>
      <c r="E3" s="6">
        <f>ROUND(C3*D3,2)</f>
      </c>
    </row>
    <row r="4" spans="1:5" s="1" customFormat="1" x14ac:dyDescent="0.25">
      <c r="A4" s="2" t="s">
        <v>139</v>
      </c>
      <c r="B4" s="1" t="s">
        <v>137</v>
      </c>
      <c r="C4" s="4">
        <v>18.77</v>
      </c>
      <c r="D4" s="5">
        <f>IFERROR(1.95583/VLOOKUP(A4,INDIRECT("USD"&amp;"!A:B"),2,FALSE),"")</f>
      </c>
      <c r="E4" s="6">
        <f>ROUND(C4*D4,2)</f>
      </c>
    </row>
    <row r="5" spans="1:5" s="1" customFormat="1" x14ac:dyDescent="0.25">
      <c r="A5" s="2" t="s">
        <v>126</v>
      </c>
      <c r="B5" s="1" t="s">
        <v>137</v>
      </c>
      <c r="C5" s="4">
        <v>16.3</v>
      </c>
      <c r="D5" s="5">
        <f>IFERROR(1.95583/VLOOKUP(A5,INDIRECT("USD"&amp;"!A:B"),2,FALSE),"")</f>
      </c>
      <c r="E5" s="6">
        <f>ROUND(C5*D5,2)</f>
      </c>
    </row>
    <row r="6" spans="1:5" s="1" customFormat="1" x14ac:dyDescent="0.25">
      <c r="A6" s="2" t="s">
        <v>123</v>
      </c>
      <c r="B6" s="1" t="s">
        <v>137</v>
      </c>
      <c r="C6" s="4">
        <v>16.1</v>
      </c>
      <c r="D6" s="5">
        <f>IFERROR(1.95583/VLOOKUP(A6,INDIRECT("USD"&amp;"!A:B"),2,FALSE),"")</f>
      </c>
      <c r="E6" s="6">
        <f>ROUND(C6*D6,2)</f>
      </c>
    </row>
    <row r="7" spans="1:5" s="1" customFormat="1" x14ac:dyDescent="0.25">
      <c r="A7" s="2" t="s">
        <v>140</v>
      </c>
      <c r="B7" s="1" t="s">
        <v>137</v>
      </c>
      <c r="C7" s="4">
        <v>16.4</v>
      </c>
      <c r="D7" s="5">
        <f>IFERROR(1.95583/VLOOKUP(A7,INDIRECT("USD"&amp;"!A:B"),2,FALSE),"")</f>
      </c>
      <c r="E7" s="6">
        <f>ROUND(C7*D7,2)</f>
      </c>
    </row>
    <row r="8" spans="1:5" s="1" customFormat="1" x14ac:dyDescent="0.25">
      <c r="A8" s="2" t="s">
        <v>120</v>
      </c>
      <c r="B8" s="1" t="s">
        <v>137</v>
      </c>
      <c r="C8" s="4">
        <v>15.9</v>
      </c>
      <c r="D8" s="5">
        <f>IFERROR(1.95583/VLOOKUP(A8,INDIRECT("USD"&amp;"!A:B"),2,FALSE),"")</f>
      </c>
      <c r="E8" s="6">
        <f>ROUND(C8*D8,2)</f>
      </c>
    </row>
    <row r="9" spans="1:5" s="1" customFormat="1" x14ac:dyDescent="0.25">
      <c r="A9" s="2" t="s">
        <v>118</v>
      </c>
      <c r="B9" s="1" t="s">
        <v>137</v>
      </c>
      <c r="C9" s="4">
        <v>15.8</v>
      </c>
      <c r="D9" s="5">
        <f>IFERROR(1.95583/VLOOKUP(A9,INDIRECT("USD"&amp;"!A:B"),2,FALSE),"")</f>
      </c>
      <c r="E9" s="6">
        <f>ROUND(C9*D9,2)</f>
      </c>
    </row>
    <row r="10" spans="1:5" s="1" customFormat="1" x14ac:dyDescent="0.25">
      <c r="A10" s="2" t="s">
        <v>141</v>
      </c>
      <c r="B10" s="1" t="s">
        <v>137</v>
      </c>
      <c r="C10" s="4">
        <v>15.7</v>
      </c>
      <c r="D10" s="5">
        <f>IFERROR(1.95583/VLOOKUP(A10,INDIRECT("USD"&amp;"!A:B"),2,FALSE),"")</f>
      </c>
      <c r="E10" s="6">
        <f>ROUND(C10*D10,2)</f>
      </c>
    </row>
    <row r="11" spans="1:5" s="1" customFormat="1" x14ac:dyDescent="0.25">
      <c r="A11" s="2" t="s">
        <v>113</v>
      </c>
      <c r="B11" s="1" t="s">
        <v>137</v>
      </c>
      <c r="C11" s="4">
        <v>15.4</v>
      </c>
      <c r="D11" s="5">
        <f>IFERROR(1.95583/VLOOKUP(A11,INDIRECT("USD"&amp;"!A:B"),2,FALSE),"")</f>
      </c>
      <c r="E11" s="6">
        <f>ROUND(C11*D11,2)</f>
      </c>
    </row>
    <row r="12" spans="1:5" s="1" customFormat="1" x14ac:dyDescent="0.25">
      <c r="A12" s="2" t="s">
        <v>142</v>
      </c>
      <c r="B12" s="1" t="s">
        <v>137</v>
      </c>
      <c r="C12" s="4">
        <v>15.2</v>
      </c>
      <c r="D12" s="5">
        <f>IFERROR(1.95583/VLOOKUP(A12,INDIRECT("USD"&amp;"!A:B"),2,FALSE),"")</f>
      </c>
      <c r="E12" s="6">
        <f>ROUND(C12*D12,2)</f>
      </c>
    </row>
    <row r="13" spans="1:5" s="1" customFormat="1" x14ac:dyDescent="0.25">
      <c r="A13" s="2" t="s">
        <v>107</v>
      </c>
      <c r="B13" s="1" t="s">
        <v>137</v>
      </c>
      <c r="C13" s="4">
        <v>15.1</v>
      </c>
      <c r="D13" s="5">
        <f>IFERROR(1.95583/VLOOKUP(A13,INDIRECT("USD"&amp;"!A:B"),2,FALSE),"")</f>
      </c>
      <c r="E13" s="6">
        <f>ROUND(C13*D13,2)</f>
      </c>
    </row>
    <row r="14" spans="1:5" s="7" customFormat="1" x14ac:dyDescent="0.25">
      <c r="A14" s="7" t="s">
        <v>7</v>
      </c>
      <c r="B14" s="7"/>
      <c r="C14" s="8">
        <f>SUM(C2:C13)</f>
      </c>
      <c r="D14" s="7"/>
      <c r="E14" s="9">
        <f>SUM(E2:E13)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0" customWidth="1"/>
    <col min="3" max="4" width="12" customWidth="1"/>
    <col min="5" max="5" width="14" customWidth="1"/>
  </cols>
  <sheetData>
    <row r="1" spans="1:5" x14ac:dyDescent="0.25">
      <c r="A1" s="1" t="s">
        <v>66</v>
      </c>
      <c r="B1" s="1" t="s">
        <v>98</v>
      </c>
      <c r="C1" s="1" t="s">
        <v>99</v>
      </c>
      <c r="D1" s="1" t="s">
        <v>91</v>
      </c>
      <c r="E1" s="1" t="s">
        <v>100</v>
      </c>
    </row>
    <row r="2" spans="1:5" s="1" customFormat="1" x14ac:dyDescent="0.25">
      <c r="A2" s="2" t="s">
        <v>143</v>
      </c>
      <c r="B2" s="1" t="s">
        <v>144</v>
      </c>
      <c r="C2" s="4">
        <v>-3.22</v>
      </c>
      <c r="D2" s="5">
        <f>IFERROR(1.95583/VLOOKUP(A2,INDIRECT("USD"&amp;"!A:B"),2,FALSE),"")</f>
      </c>
      <c r="E2" s="6">
        <f>ROUND(C2*D2,2)</f>
      </c>
    </row>
    <row r="3" spans="1:5" s="1" customFormat="1" x14ac:dyDescent="0.25">
      <c r="A3" s="2" t="s">
        <v>39</v>
      </c>
      <c r="B3" s="1" t="s">
        <v>145</v>
      </c>
      <c r="C3" s="4">
        <v>-2.87</v>
      </c>
      <c r="D3" s="5">
        <f>IFERROR(1.95583/VLOOKUP(A3,INDIRECT("USD"&amp;"!A:B"),2,FALSE),"")</f>
      </c>
      <c r="E3" s="6">
        <f>ROUND(C3*D3,2)</f>
      </c>
    </row>
    <row r="4" spans="1:5" s="1" customFormat="1" x14ac:dyDescent="0.25">
      <c r="A4" s="2" t="s">
        <v>146</v>
      </c>
      <c r="B4" s="1" t="s">
        <v>147</v>
      </c>
      <c r="C4" s="4">
        <v>8.45</v>
      </c>
      <c r="D4" s="5">
        <f>IFERROR(1.95583/VLOOKUP(A4,INDIRECT("USD"&amp;"!A:B"),2,FALSE),"")</f>
      </c>
      <c r="E4" s="6">
        <f>ROUND(C4*D4,2)</f>
      </c>
    </row>
    <row r="5" spans="1:5" s="1" customFormat="1" x14ac:dyDescent="0.25">
      <c r="A5" s="2" t="s">
        <v>148</v>
      </c>
      <c r="B5" s="1" t="s">
        <v>149</v>
      </c>
      <c r="C5" s="4">
        <v>9.12</v>
      </c>
      <c r="D5" s="5">
        <f>IFERROR(1.95583/VLOOKUP(A5,INDIRECT("USD"&amp;"!A:B"),2,FALSE),"")</f>
      </c>
      <c r="E5" s="6">
        <f>ROUND(C5*D5,2)</f>
      </c>
    </row>
    <row r="6" spans="1:5" s="1" customFormat="1" x14ac:dyDescent="0.25">
      <c r="A6" s="2" t="s">
        <v>150</v>
      </c>
      <c r="B6" s="1" t="s">
        <v>151</v>
      </c>
      <c r="C6" s="4">
        <v>7.8</v>
      </c>
      <c r="D6" s="5">
        <f>IFERROR(1.95583/VLOOKUP(A6,INDIRECT("USD"&amp;"!A:B"),2,FALSE),"")</f>
      </c>
      <c r="E6" s="6">
        <f>ROUND(C6*D6,2)</f>
      </c>
    </row>
    <row r="7" spans="1:5" s="1" customFormat="1" x14ac:dyDescent="0.25">
      <c r="A7" s="2" t="s">
        <v>152</v>
      </c>
      <c r="B7" s="1" t="s">
        <v>153</v>
      </c>
      <c r="C7" s="4">
        <v>6.55</v>
      </c>
      <c r="D7" s="5">
        <f>IFERROR(1.95583/VLOOKUP(A7,INDIRECT("USD"&amp;"!A:B"),2,FALSE),"")</f>
      </c>
      <c r="E7" s="6">
        <f>ROUND(C7*D7,2)</f>
      </c>
    </row>
    <row r="8" spans="1:5" s="1" customFormat="1" x14ac:dyDescent="0.25">
      <c r="A8" s="2" t="s">
        <v>154</v>
      </c>
      <c r="B8" s="1" t="s">
        <v>155</v>
      </c>
      <c r="C8" s="4">
        <v>5.4</v>
      </c>
      <c r="D8" s="5">
        <f>IFERROR(1.95583/VLOOKUP(A8,INDIRECT("USD"&amp;"!A:B"),2,FALSE),"")</f>
      </c>
      <c r="E8" s="6">
        <f>ROUND(C8*D8,2)</f>
      </c>
    </row>
    <row r="9" spans="1:5" s="1" customFormat="1" x14ac:dyDescent="0.25">
      <c r="A9" s="2" t="s">
        <v>156</v>
      </c>
      <c r="B9" s="1" t="s">
        <v>157</v>
      </c>
      <c r="C9" s="4">
        <v>4.92</v>
      </c>
      <c r="D9" s="5">
        <f>IFERROR(1.95583/VLOOKUP(A9,INDIRECT("USD"&amp;"!A:B"),2,FALSE),"")</f>
      </c>
      <c r="E9" s="6">
        <f>ROUND(C9*D9,2)</f>
      </c>
    </row>
    <row r="10" spans="1:5" s="1" customFormat="1" x14ac:dyDescent="0.25">
      <c r="A10" s="2" t="s">
        <v>158</v>
      </c>
      <c r="B10" s="1" t="s">
        <v>159</v>
      </c>
      <c r="C10" s="4">
        <v>4.18</v>
      </c>
      <c r="D10" s="5">
        <f>IFERROR(1.95583/VLOOKUP(A10,INDIRECT("USD"&amp;"!A:B"),2,FALSE),"")</f>
      </c>
      <c r="E10" s="6">
        <f>ROUND(C10*D10,2)</f>
      </c>
    </row>
    <row r="11" spans="1:5" s="1" customFormat="1" x14ac:dyDescent="0.25">
      <c r="A11" s="2" t="s">
        <v>160</v>
      </c>
      <c r="B11" s="1" t="s">
        <v>161</v>
      </c>
      <c r="C11" s="4">
        <v>3.65</v>
      </c>
      <c r="D11" s="5">
        <f>IFERROR(1.95583/VLOOKUP(A11,INDIRECT("USD"&amp;"!A:B"),2,FALSE),"")</f>
      </c>
      <c r="E11" s="6">
        <f>ROUND(C11*D11,2)</f>
      </c>
    </row>
    <row r="12" spans="1:5" s="1" customFormat="1" x14ac:dyDescent="0.25">
      <c r="A12" s="2" t="s">
        <v>81</v>
      </c>
      <c r="B12" s="1" t="s">
        <v>162</v>
      </c>
      <c r="C12" s="4">
        <v>3.22</v>
      </c>
      <c r="D12" s="5">
        <f>IFERROR(1.95583/VLOOKUP(A12,INDIRECT("USD"&amp;"!A:B"),2,FALSE),"")</f>
      </c>
      <c r="E12" s="6">
        <f>ROUND(C12*D12,2)</f>
      </c>
    </row>
    <row r="13" spans="1:5" s="1" customFormat="1" x14ac:dyDescent="0.25">
      <c r="A13" s="2" t="s">
        <v>163</v>
      </c>
      <c r="B13" s="1" t="s">
        <v>164</v>
      </c>
      <c r="C13" s="4">
        <v>2.98</v>
      </c>
      <c r="D13" s="5">
        <f>IFERROR(1.95583/VLOOKUP(A13,INDIRECT("USD"&amp;"!A:B"),2,FALSE),"")</f>
      </c>
      <c r="E13" s="6">
        <f>ROUND(C13*D13,2)</f>
      </c>
    </row>
    <row r="14" spans="1:5" s="7" customFormat="1" x14ac:dyDescent="0.25">
      <c r="A14" s="7" t="s">
        <v>7</v>
      </c>
      <c r="B14" s="7"/>
      <c r="C14" s="8">
        <f>SUM(C2:C13)</f>
      </c>
      <c r="D14" s="7"/>
      <c r="E14" s="9">
        <f>SUM(E2:E13)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20" customWidth="1"/>
    <col min="2" max="3" width="8" customWidth="1"/>
    <col min="4" max="5" width="10" customWidth="1"/>
    <col min="6" max="7" width="14" customWidth="1"/>
    <col min="8" max="9" width="10" customWidth="1"/>
    <col min="10" max="10" width="14" customWidth="1"/>
  </cols>
  <sheetData>
    <row r="1" spans="1:10" x14ac:dyDescent="0.25">
      <c r="A1" s="1" t="s">
        <v>0</v>
      </c>
      <c r="B1" s="1" t="s">
        <v>165</v>
      </c>
      <c r="C1" s="1" t="s">
        <v>166</v>
      </c>
      <c r="D1" s="1" t="s">
        <v>2</v>
      </c>
      <c r="E1" s="1" t="s">
        <v>5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</row>
    <row r="2" spans="1:10" s="1" customFormat="1" x14ac:dyDescent="0.25">
      <c r="A2" s="1" t="s">
        <v>34</v>
      </c>
      <c r="B2" s="1" t="s">
        <v>172</v>
      </c>
      <c r="C2" s="1" t="s">
        <v>173</v>
      </c>
      <c r="D2" s="1" t="s">
        <v>174</v>
      </c>
      <c r="E2" s="1" t="s">
        <v>22</v>
      </c>
      <c r="F2" s="4">
        <v>0</v>
      </c>
      <c r="G2" s="4">
        <v>44058.25</v>
      </c>
      <c r="H2" s="1">
        <v>0</v>
      </c>
      <c r="I2" s="1">
        <v>44</v>
      </c>
      <c r="J2" s="4">
        <v>86170.4470975</v>
      </c>
    </row>
    <row r="3" spans="1:10" s="1" customFormat="1" x14ac:dyDescent="0.25">
      <c r="A3" s="1" t="s">
        <v>175</v>
      </c>
      <c r="B3" s="1" t="s">
        <v>172</v>
      </c>
      <c r="C3" s="1" t="s">
        <v>176</v>
      </c>
      <c r="D3" s="1" t="s">
        <v>177</v>
      </c>
      <c r="E3" s="1" t="s">
        <v>16</v>
      </c>
      <c r="F3" s="4">
        <v>10500</v>
      </c>
      <c r="G3" s="4">
        <v>5050.9</v>
      </c>
      <c r="H3" s="1">
        <v>11</v>
      </c>
      <c r="I3" s="1">
        <v>5</v>
      </c>
      <c r="J3" s="4">
        <v>9498.75167980769</v>
      </c>
    </row>
    <row r="4" spans="1:10" s="1" customFormat="1" x14ac:dyDescent="0.25">
      <c r="A4" s="1" t="s">
        <v>175</v>
      </c>
      <c r="B4" s="1" t="s">
        <v>172</v>
      </c>
      <c r="C4" s="1" t="s">
        <v>176</v>
      </c>
      <c r="D4" s="1" t="s">
        <v>177</v>
      </c>
      <c r="E4" s="1" t="s">
        <v>22</v>
      </c>
      <c r="F4" s="4">
        <v>400</v>
      </c>
      <c r="G4" s="4">
        <v>-1887.6</v>
      </c>
      <c r="H4" s="1">
        <v>0</v>
      </c>
      <c r="I4" s="1">
        <v>-2</v>
      </c>
      <c r="J4" s="4">
        <v>-3691.8247079999996</v>
      </c>
    </row>
    <row r="5" spans="1:10" s="1" customFormat="1" x14ac:dyDescent="0.25">
      <c r="A5" s="1" t="s">
        <v>50</v>
      </c>
      <c r="B5" s="1" t="s">
        <v>172</v>
      </c>
      <c r="C5" s="1" t="s">
        <v>176</v>
      </c>
      <c r="D5" s="1" t="s">
        <v>178</v>
      </c>
      <c r="E5" s="1" t="s">
        <v>16</v>
      </c>
      <c r="F5" s="4">
        <v>5812.3</v>
      </c>
      <c r="G5" s="4">
        <v>6633.54</v>
      </c>
      <c r="H5" s="1">
        <v>6</v>
      </c>
      <c r="I5" s="1">
        <v>7</v>
      </c>
      <c r="J5" s="4">
        <v>12475.073594423076</v>
      </c>
    </row>
    <row r="6" spans="1:10" s="1" customFormat="1" x14ac:dyDescent="0.25">
      <c r="A6" s="1" t="s">
        <v>179</v>
      </c>
      <c r="B6" s="1" t="s">
        <v>180</v>
      </c>
      <c r="C6" s="1" t="s">
        <v>176</v>
      </c>
      <c r="D6" s="1" t="s">
        <v>177</v>
      </c>
      <c r="E6" s="1" t="s">
        <v>42</v>
      </c>
      <c r="F6" s="4">
        <v>0</v>
      </c>
      <c r="G6" s="4">
        <v>200</v>
      </c>
      <c r="H6" s="1">
        <v>0</v>
      </c>
      <c r="I6" s="1">
        <v>0</v>
      </c>
      <c r="J6" s="4">
        <v>471.28433734939756</v>
      </c>
    </row>
    <row r="7" spans="1:10" s="1" customFormat="1" x14ac:dyDescent="0.25">
      <c r="A7" s="1" t="s">
        <v>179</v>
      </c>
      <c r="B7" s="1" t="s">
        <v>180</v>
      </c>
      <c r="C7" s="1" t="s">
        <v>176</v>
      </c>
      <c r="D7" s="1" t="s">
        <v>177</v>
      </c>
      <c r="E7" s="1" t="s">
        <v>22</v>
      </c>
      <c r="F7" s="4">
        <v>0</v>
      </c>
      <c r="G7" s="4">
        <v>300</v>
      </c>
      <c r="H7" s="1">
        <v>0</v>
      </c>
      <c r="I7" s="1">
        <v>0</v>
      </c>
      <c r="J7" s="4">
        <v>586.749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8" customWidth="1"/>
    <col min="2" max="2" width="14" customWidth="1"/>
    <col min="3" max="3" width="10" customWidth="1"/>
    <col min="4" max="6" width="14" customWidth="1"/>
  </cols>
  <sheetData>
    <row r="1" spans="1:6" x14ac:dyDescent="0.25">
      <c r="A1" s="1" t="s">
        <v>181</v>
      </c>
      <c r="B1" s="1" t="s">
        <v>1</v>
      </c>
      <c r="C1" s="1" t="s">
        <v>5</v>
      </c>
      <c r="D1" s="1" t="s">
        <v>182</v>
      </c>
      <c r="E1" s="1" t="s">
        <v>183</v>
      </c>
      <c r="F1" s="1" t="s">
        <v>184</v>
      </c>
    </row>
    <row r="2" spans="1:6" s="1" customFormat="1" x14ac:dyDescent="0.25">
      <c r="A2" s="1" t="s">
        <v>185</v>
      </c>
      <c r="B2" s="1" t="s">
        <v>13</v>
      </c>
      <c r="C2" s="1" t="s">
        <v>16</v>
      </c>
      <c r="D2" s="4">
        <v>15.000000000000002</v>
      </c>
      <c r="E2" s="4">
        <v>17.05846414</v>
      </c>
      <c r="F2" s="4">
        <v>178.25</v>
      </c>
    </row>
    <row r="3" spans="1:6" s="1" customFormat="1" x14ac:dyDescent="0.25">
      <c r="A3" s="1" t="s">
        <v>186</v>
      </c>
      <c r="B3" s="1" t="s">
        <v>19</v>
      </c>
      <c r="C3" s="1" t="s">
        <v>22</v>
      </c>
      <c r="D3" s="4">
        <v>5</v>
      </c>
      <c r="E3" s="4">
        <v>10.00278164</v>
      </c>
      <c r="F3" s="4">
        <v>720</v>
      </c>
    </row>
    <row r="4" spans="1:6" s="1" customFormat="1" x14ac:dyDescent="0.25">
      <c r="A4" s="1" t="s">
        <v>187</v>
      </c>
      <c r="B4" s="1" t="s">
        <v>28</v>
      </c>
      <c r="C4" s="1" t="s">
        <v>16</v>
      </c>
      <c r="D4" s="4">
        <v>200</v>
      </c>
      <c r="E4" s="4">
        <v>200</v>
      </c>
      <c r="F4" s="4">
        <v>420</v>
      </c>
    </row>
    <row r="5" spans="1:6" s="1" customFormat="1" x14ac:dyDescent="0.25">
      <c r="A5" s="1" t="s">
        <v>188</v>
      </c>
      <c r="B5" s="1" t="s">
        <v>30</v>
      </c>
      <c r="C5" s="1" t="s">
        <v>16</v>
      </c>
      <c r="D5" s="4">
        <v>400</v>
      </c>
      <c r="E5" s="4">
        <v>400</v>
      </c>
      <c r="F5" s="4">
        <v>55</v>
      </c>
    </row>
    <row r="6" spans="1:6" s="1" customFormat="1" x14ac:dyDescent="0.25">
      <c r="A6" s="1" t="s">
        <v>189</v>
      </c>
      <c r="B6" s="1" t="s">
        <v>32</v>
      </c>
      <c r="C6" s="1" t="s">
        <v>16</v>
      </c>
      <c r="D6" s="4">
        <v>68</v>
      </c>
      <c r="E6" s="4">
        <v>93</v>
      </c>
      <c r="F6" s="4">
        <v>62</v>
      </c>
    </row>
    <row r="7" spans="1:6" s="1" customFormat="1" x14ac:dyDescent="0.25">
      <c r="A7" s="1" t="s">
        <v>190</v>
      </c>
      <c r="B7" s="1" t="s">
        <v>35</v>
      </c>
      <c r="C7" s="1" t="s">
        <v>16</v>
      </c>
      <c r="D7" s="4">
        <v>1150.5</v>
      </c>
      <c r="E7" s="4">
        <v>1150.54587126</v>
      </c>
      <c r="F7" s="4">
        <v>195</v>
      </c>
    </row>
    <row r="8" spans="1:6" s="1" customFormat="1" x14ac:dyDescent="0.25">
      <c r="A8" s="1" t="s">
        <v>191</v>
      </c>
      <c r="B8" s="1" t="s">
        <v>43</v>
      </c>
      <c r="C8" s="1" t="s">
        <v>46</v>
      </c>
      <c r="D8" s="4">
        <v>0</v>
      </c>
      <c r="E8" s="4">
        <v>200</v>
      </c>
      <c r="F8" s="4">
        <v>25</v>
      </c>
    </row>
    <row r="9" spans="1:6" s="1" customFormat="1" x14ac:dyDescent="0.25">
      <c r="A9" s="1" t="s">
        <v>192</v>
      </c>
      <c r="B9" s="1" t="s">
        <v>48</v>
      </c>
      <c r="C9" s="1" t="s">
        <v>16</v>
      </c>
      <c r="D9" s="4">
        <v>0</v>
      </c>
      <c r="E9" s="4">
        <v>0.00764921</v>
      </c>
      <c r="F9" s="4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6"/>
  <sheetFormatPr defaultRowHeight="15" outlineLevelRow="0" outlineLevelCol="0" x14ac:dyDescent="55"/>
  <cols>
    <col min="1" max="2" width="12" customWidth="1"/>
  </cols>
  <sheetData>
    <row r="1" spans="1:2" x14ac:dyDescent="0.25">
      <c r="A1" s="1" t="s">
        <v>66</v>
      </c>
      <c r="B1" s="1" t="s">
        <v>91</v>
      </c>
    </row>
    <row r="2" spans="1:2" s="1" customFormat="1" x14ac:dyDescent="0.25">
      <c r="A2" s="2" t="s">
        <v>133</v>
      </c>
      <c r="B2" s="4">
        <v>0.84</v>
      </c>
    </row>
    <row r="3" spans="1:2" s="1" customFormat="1" x14ac:dyDescent="0.25">
      <c r="A3" s="2" t="s">
        <v>136</v>
      </c>
      <c r="B3" s="4">
        <v>0.84</v>
      </c>
    </row>
    <row r="4" spans="1:2" s="1" customFormat="1" x14ac:dyDescent="0.25">
      <c r="A4" s="2" t="s">
        <v>193</v>
      </c>
      <c r="B4" s="4">
        <v>0.84</v>
      </c>
    </row>
    <row r="5" spans="1:2" s="1" customFormat="1" x14ac:dyDescent="0.25">
      <c r="A5" s="2" t="s">
        <v>194</v>
      </c>
      <c r="B5" s="4">
        <v>0.84</v>
      </c>
    </row>
    <row r="6" spans="1:2" s="1" customFormat="1" x14ac:dyDescent="0.25">
      <c r="A6" s="2" t="s">
        <v>195</v>
      </c>
      <c r="B6" s="4">
        <v>0.84</v>
      </c>
    </row>
    <row r="7" spans="1:2" s="1" customFormat="1" x14ac:dyDescent="0.25">
      <c r="A7" s="2" t="s">
        <v>143</v>
      </c>
      <c r="B7" s="4">
        <v>0.84</v>
      </c>
    </row>
    <row r="8" spans="1:2" s="1" customFormat="1" x14ac:dyDescent="0.25">
      <c r="A8" s="2" t="s">
        <v>196</v>
      </c>
      <c r="B8" s="4">
        <v>0.84</v>
      </c>
    </row>
    <row r="9" spans="1:2" s="1" customFormat="1" x14ac:dyDescent="0.25">
      <c r="A9" s="2" t="s">
        <v>197</v>
      </c>
      <c r="B9" s="4">
        <v>0.84</v>
      </c>
    </row>
    <row r="10" spans="1:2" s="1" customFormat="1" x14ac:dyDescent="0.25">
      <c r="A10" s="2" t="s">
        <v>198</v>
      </c>
      <c r="B10" s="4">
        <v>0.84</v>
      </c>
    </row>
    <row r="11" spans="1:2" s="1" customFormat="1" x14ac:dyDescent="0.25">
      <c r="A11" s="2" t="s">
        <v>199</v>
      </c>
      <c r="B11" s="4">
        <v>0.84</v>
      </c>
    </row>
    <row r="12" spans="1:2" s="1" customFormat="1" x14ac:dyDescent="0.25">
      <c r="A12" s="2" t="s">
        <v>200</v>
      </c>
      <c r="B12" s="4">
        <v>0.84</v>
      </c>
    </row>
    <row r="13" spans="1:2" s="1" customFormat="1" x14ac:dyDescent="0.25">
      <c r="A13" s="2" t="s">
        <v>201</v>
      </c>
      <c r="B13" s="4">
        <v>0.84</v>
      </c>
    </row>
    <row r="14" spans="1:2" s="1" customFormat="1" x14ac:dyDescent="0.25">
      <c r="A14" s="2" t="s">
        <v>202</v>
      </c>
      <c r="B14" s="4">
        <v>0.84</v>
      </c>
    </row>
    <row r="15" spans="1:2" s="1" customFormat="1" x14ac:dyDescent="0.25">
      <c r="A15" s="2" t="s">
        <v>40</v>
      </c>
      <c r="B15" s="4">
        <v>0.84</v>
      </c>
    </row>
    <row r="16" spans="1:2" s="1" customFormat="1" x14ac:dyDescent="0.25">
      <c r="A16" s="2" t="s">
        <v>47</v>
      </c>
      <c r="B16" s="4">
        <v>0.84</v>
      </c>
    </row>
    <row r="17" spans="1:2" s="1" customFormat="1" x14ac:dyDescent="0.25">
      <c r="A17" s="2" t="s">
        <v>203</v>
      </c>
      <c r="B17" s="4">
        <v>0.84</v>
      </c>
    </row>
    <row r="18" spans="1:2" s="1" customFormat="1" x14ac:dyDescent="0.25">
      <c r="A18" s="2" t="s">
        <v>204</v>
      </c>
      <c r="B18" s="4">
        <v>0.84</v>
      </c>
    </row>
    <row r="19" spans="1:2" s="1" customFormat="1" x14ac:dyDescent="0.25">
      <c r="A19" s="2" t="s">
        <v>205</v>
      </c>
      <c r="B19" s="4">
        <v>0.84</v>
      </c>
    </row>
    <row r="20" spans="1:2" s="1" customFormat="1" x14ac:dyDescent="0.25">
      <c r="A20" s="2" t="s">
        <v>206</v>
      </c>
      <c r="B20" s="4">
        <v>0.84</v>
      </c>
    </row>
    <row r="21" spans="1:2" s="1" customFormat="1" x14ac:dyDescent="0.25">
      <c r="A21" s="2" t="s">
        <v>207</v>
      </c>
      <c r="B21" s="4">
        <v>0.84</v>
      </c>
    </row>
    <row r="22" spans="1:2" s="1" customFormat="1" x14ac:dyDescent="0.25">
      <c r="A22" s="2" t="s">
        <v>208</v>
      </c>
      <c r="B22" s="4">
        <v>0.84</v>
      </c>
    </row>
    <row r="23" spans="1:2" s="1" customFormat="1" x14ac:dyDescent="0.25">
      <c r="A23" s="2" t="s">
        <v>209</v>
      </c>
      <c r="B23" s="4">
        <v>0.84</v>
      </c>
    </row>
    <row r="24" spans="1:2" s="1" customFormat="1" x14ac:dyDescent="0.25">
      <c r="A24" s="2" t="s">
        <v>210</v>
      </c>
      <c r="B24" s="4">
        <v>0.84</v>
      </c>
    </row>
    <row r="25" spans="1:2" s="1" customFormat="1" x14ac:dyDescent="0.25">
      <c r="A25" s="2" t="s">
        <v>211</v>
      </c>
      <c r="B25" s="4">
        <v>0.84</v>
      </c>
    </row>
    <row r="26" spans="1:2" s="1" customFormat="1" x14ac:dyDescent="0.25">
      <c r="A26" s="2" t="s">
        <v>212</v>
      </c>
      <c r="B26" s="4">
        <v>0.84</v>
      </c>
    </row>
    <row r="27" spans="1:2" s="1" customFormat="1" x14ac:dyDescent="0.25">
      <c r="A27" s="2" t="s">
        <v>213</v>
      </c>
      <c r="B27" s="4">
        <v>0.84</v>
      </c>
    </row>
    <row r="28" spans="1:2" s="1" customFormat="1" x14ac:dyDescent="0.25">
      <c r="A28" s="2" t="s">
        <v>214</v>
      </c>
      <c r="B28" s="4">
        <v>0.84</v>
      </c>
    </row>
    <row r="29" spans="1:2" s="1" customFormat="1" x14ac:dyDescent="0.25">
      <c r="A29" s="2" t="s">
        <v>215</v>
      </c>
      <c r="B29" s="4">
        <v>0.84</v>
      </c>
    </row>
    <row r="30" spans="1:2" s="1" customFormat="1" x14ac:dyDescent="0.25">
      <c r="A30" s="2" t="s">
        <v>216</v>
      </c>
      <c r="B30" s="4">
        <v>0.84</v>
      </c>
    </row>
    <row r="31" spans="1:2" s="1" customFormat="1" x14ac:dyDescent="0.25">
      <c r="A31" s="2" t="s">
        <v>217</v>
      </c>
      <c r="B31" s="4">
        <v>0.84</v>
      </c>
    </row>
    <row r="32" spans="1:2" s="1" customFormat="1" x14ac:dyDescent="0.25">
      <c r="A32" s="2" t="s">
        <v>132</v>
      </c>
      <c r="B32" s="4">
        <v>0.84</v>
      </c>
    </row>
    <row r="33" spans="1:2" s="1" customFormat="1" x14ac:dyDescent="0.25">
      <c r="A33" s="2" t="s">
        <v>131</v>
      </c>
      <c r="B33" s="4">
        <v>0.84</v>
      </c>
    </row>
    <row r="34" spans="1:2" s="1" customFormat="1" x14ac:dyDescent="0.25">
      <c r="A34" s="2" t="s">
        <v>218</v>
      </c>
      <c r="B34" s="4">
        <v>0.84</v>
      </c>
    </row>
    <row r="35" spans="1:2" s="1" customFormat="1" x14ac:dyDescent="0.25">
      <c r="A35" s="2" t="s">
        <v>138</v>
      </c>
      <c r="B35" s="4">
        <v>0.84</v>
      </c>
    </row>
    <row r="36" spans="1:2" s="1" customFormat="1" x14ac:dyDescent="0.25">
      <c r="A36" s="2" t="s">
        <v>219</v>
      </c>
      <c r="B36" s="4">
        <v>0.84</v>
      </c>
    </row>
    <row r="37" spans="1:2" s="1" customFormat="1" x14ac:dyDescent="0.25">
      <c r="A37" s="2" t="s">
        <v>39</v>
      </c>
      <c r="B37" s="4">
        <v>0.84</v>
      </c>
    </row>
    <row r="38" spans="1:2" s="1" customFormat="1" x14ac:dyDescent="0.25">
      <c r="A38" s="2" t="s">
        <v>220</v>
      </c>
      <c r="B38" s="4">
        <v>0.84</v>
      </c>
    </row>
    <row r="39" spans="1:2" s="1" customFormat="1" x14ac:dyDescent="0.25">
      <c r="A39" s="2" t="s">
        <v>221</v>
      </c>
      <c r="B39" s="4">
        <v>0.84</v>
      </c>
    </row>
    <row r="40" spans="1:2" s="1" customFormat="1" x14ac:dyDescent="0.25">
      <c r="A40" s="2" t="s">
        <v>222</v>
      </c>
      <c r="B40" s="4">
        <v>0.84</v>
      </c>
    </row>
    <row r="41" spans="1:2" s="1" customFormat="1" x14ac:dyDescent="0.25">
      <c r="A41" s="2" t="s">
        <v>223</v>
      </c>
      <c r="B41" s="4">
        <v>0.84</v>
      </c>
    </row>
    <row r="42" spans="1:2" s="1" customFormat="1" x14ac:dyDescent="0.25">
      <c r="A42" s="2" t="s">
        <v>96</v>
      </c>
      <c r="B42" s="4">
        <v>0.84</v>
      </c>
    </row>
    <row r="43" spans="1:2" s="1" customFormat="1" x14ac:dyDescent="0.25">
      <c r="A43" s="2" t="s">
        <v>97</v>
      </c>
      <c r="B43" s="4">
        <v>0.84</v>
      </c>
    </row>
    <row r="44" spans="1:2" s="1" customFormat="1" x14ac:dyDescent="0.25">
      <c r="A44" s="2" t="s">
        <v>224</v>
      </c>
      <c r="B44" s="4">
        <v>0.84</v>
      </c>
    </row>
    <row r="45" spans="1:2" s="1" customFormat="1" x14ac:dyDescent="0.25">
      <c r="A45" s="2" t="s">
        <v>225</v>
      </c>
      <c r="B45" s="4">
        <v>0.84</v>
      </c>
    </row>
    <row r="46" spans="1:2" s="1" customFormat="1" x14ac:dyDescent="0.25">
      <c r="A46" s="2" t="s">
        <v>226</v>
      </c>
      <c r="B46" s="4">
        <v>0.84</v>
      </c>
    </row>
    <row r="47" spans="1:2" s="1" customFormat="1" x14ac:dyDescent="0.25">
      <c r="A47" s="2" t="s">
        <v>130</v>
      </c>
      <c r="B47" s="4">
        <v>0.84</v>
      </c>
    </row>
    <row r="48" spans="1:2" s="1" customFormat="1" x14ac:dyDescent="0.25">
      <c r="A48" s="2" t="s">
        <v>227</v>
      </c>
      <c r="B48" s="4">
        <v>0.84</v>
      </c>
    </row>
    <row r="49" spans="1:2" s="1" customFormat="1" x14ac:dyDescent="0.25">
      <c r="A49" s="2" t="s">
        <v>228</v>
      </c>
      <c r="B49" s="4">
        <v>0.84</v>
      </c>
    </row>
    <row r="50" spans="1:2" s="1" customFormat="1" x14ac:dyDescent="0.25">
      <c r="A50" s="2" t="s">
        <v>229</v>
      </c>
      <c r="B50" s="4">
        <v>0.84</v>
      </c>
    </row>
    <row r="51" spans="1:2" s="1" customFormat="1" x14ac:dyDescent="0.25">
      <c r="A51" s="2" t="s">
        <v>230</v>
      </c>
      <c r="B51" s="4">
        <v>0.84</v>
      </c>
    </row>
    <row r="52" spans="1:2" s="1" customFormat="1" x14ac:dyDescent="0.25">
      <c r="A52" s="2" t="s">
        <v>231</v>
      </c>
      <c r="B52" s="4">
        <v>0.84</v>
      </c>
    </row>
    <row r="53" spans="1:2" s="1" customFormat="1" x14ac:dyDescent="0.25">
      <c r="A53" s="2" t="s">
        <v>232</v>
      </c>
      <c r="B53" s="4">
        <v>0.84</v>
      </c>
    </row>
    <row r="54" spans="1:2" s="1" customFormat="1" x14ac:dyDescent="0.25">
      <c r="A54" s="2" t="s">
        <v>233</v>
      </c>
      <c r="B54" s="4">
        <v>0.84</v>
      </c>
    </row>
    <row r="55" spans="1:2" s="1" customFormat="1" x14ac:dyDescent="0.25">
      <c r="A55" s="2" t="s">
        <v>234</v>
      </c>
      <c r="B55" s="4">
        <v>0.84</v>
      </c>
    </row>
    <row r="56" spans="1:2" s="1" customFormat="1" x14ac:dyDescent="0.25">
      <c r="A56" s="2" t="s">
        <v>235</v>
      </c>
      <c r="B56" s="4">
        <v>0.84</v>
      </c>
    </row>
    <row r="57" spans="1:2" s="1" customFormat="1" x14ac:dyDescent="0.25">
      <c r="A57" s="2" t="s">
        <v>236</v>
      </c>
      <c r="B57" s="4">
        <v>0.84</v>
      </c>
    </row>
    <row r="58" spans="1:2" s="1" customFormat="1" x14ac:dyDescent="0.25">
      <c r="A58" s="2" t="s">
        <v>237</v>
      </c>
      <c r="B58" s="4">
        <v>0.84</v>
      </c>
    </row>
    <row r="59" spans="1:2" s="1" customFormat="1" x14ac:dyDescent="0.25">
      <c r="A59" s="2" t="s">
        <v>238</v>
      </c>
      <c r="B59" s="4">
        <v>0.84</v>
      </c>
    </row>
    <row r="60" spans="1:2" s="1" customFormat="1" x14ac:dyDescent="0.25">
      <c r="A60" s="2" t="s">
        <v>129</v>
      </c>
      <c r="B60" s="4">
        <v>0.84</v>
      </c>
    </row>
    <row r="61" spans="1:2" s="1" customFormat="1" x14ac:dyDescent="0.25">
      <c r="A61" s="2" t="s">
        <v>128</v>
      </c>
      <c r="B61" s="4">
        <v>0.84</v>
      </c>
    </row>
    <row r="62" spans="1:2" s="1" customFormat="1" x14ac:dyDescent="0.25">
      <c r="A62" s="2" t="s">
        <v>239</v>
      </c>
      <c r="B62" s="4">
        <v>0.84</v>
      </c>
    </row>
    <row r="63" spans="1:2" s="1" customFormat="1" x14ac:dyDescent="0.25">
      <c r="A63" s="2" t="s">
        <v>139</v>
      </c>
      <c r="B63" s="4">
        <v>0.84</v>
      </c>
    </row>
    <row r="64" spans="1:2" s="1" customFormat="1" x14ac:dyDescent="0.25">
      <c r="A64" s="2" t="s">
        <v>240</v>
      </c>
      <c r="B64" s="4">
        <v>0.84</v>
      </c>
    </row>
    <row r="65" spans="1:2" s="1" customFormat="1" x14ac:dyDescent="0.25">
      <c r="A65" s="2" t="s">
        <v>241</v>
      </c>
      <c r="B65" s="4">
        <v>0.84</v>
      </c>
    </row>
    <row r="66" spans="1:2" s="1" customFormat="1" x14ac:dyDescent="0.25">
      <c r="A66" s="2" t="s">
        <v>146</v>
      </c>
      <c r="B66" s="4">
        <v>0.84</v>
      </c>
    </row>
    <row r="67" spans="1:2" s="1" customFormat="1" x14ac:dyDescent="0.25">
      <c r="A67" s="2" t="s">
        <v>242</v>
      </c>
      <c r="B67" s="4">
        <v>0.84</v>
      </c>
    </row>
    <row r="68" spans="1:2" s="1" customFormat="1" x14ac:dyDescent="0.25">
      <c r="A68" s="2" t="s">
        <v>243</v>
      </c>
      <c r="B68" s="4">
        <v>0.84</v>
      </c>
    </row>
    <row r="69" spans="1:2" s="1" customFormat="1" x14ac:dyDescent="0.25">
      <c r="A69" s="2" t="s">
        <v>244</v>
      </c>
      <c r="B69" s="4">
        <v>0.84</v>
      </c>
    </row>
    <row r="70" spans="1:2" s="1" customFormat="1" x14ac:dyDescent="0.25">
      <c r="A70" s="2" t="s">
        <v>245</v>
      </c>
      <c r="B70" s="4">
        <v>0.84</v>
      </c>
    </row>
    <row r="71" spans="1:2" s="1" customFormat="1" x14ac:dyDescent="0.25">
      <c r="A71" s="2" t="s">
        <v>246</v>
      </c>
      <c r="B71" s="4">
        <v>0.84</v>
      </c>
    </row>
    <row r="72" spans="1:2" s="1" customFormat="1" x14ac:dyDescent="0.25">
      <c r="A72" s="2" t="s">
        <v>247</v>
      </c>
      <c r="B72" s="4">
        <v>0.84</v>
      </c>
    </row>
    <row r="73" spans="1:2" s="1" customFormat="1" x14ac:dyDescent="0.25">
      <c r="A73" s="2" t="s">
        <v>248</v>
      </c>
      <c r="B73" s="4">
        <v>0.84</v>
      </c>
    </row>
    <row r="74" spans="1:2" s="1" customFormat="1" x14ac:dyDescent="0.25">
      <c r="A74" s="2" t="s">
        <v>84</v>
      </c>
      <c r="B74" s="4">
        <v>0.84</v>
      </c>
    </row>
    <row r="75" spans="1:2" s="1" customFormat="1" x14ac:dyDescent="0.25">
      <c r="A75" s="2" t="s">
        <v>75</v>
      </c>
      <c r="B75" s="4">
        <v>0.84</v>
      </c>
    </row>
    <row r="76" spans="1:2" s="1" customFormat="1" x14ac:dyDescent="0.25">
      <c r="A76" s="2" t="s">
        <v>93</v>
      </c>
      <c r="B76" s="4">
        <v>0.84</v>
      </c>
    </row>
    <row r="77" spans="1:2" s="1" customFormat="1" x14ac:dyDescent="0.25">
      <c r="A77" s="2" t="s">
        <v>94</v>
      </c>
      <c r="B77" s="4">
        <v>0.84</v>
      </c>
    </row>
    <row r="78" spans="1:2" s="1" customFormat="1" x14ac:dyDescent="0.25">
      <c r="A78" s="2" t="s">
        <v>249</v>
      </c>
      <c r="B78" s="4">
        <v>0.84</v>
      </c>
    </row>
    <row r="79" spans="1:2" s="1" customFormat="1" x14ac:dyDescent="0.25">
      <c r="A79" s="2" t="s">
        <v>250</v>
      </c>
      <c r="B79" s="4">
        <v>0.84</v>
      </c>
    </row>
    <row r="80" spans="1:2" s="1" customFormat="1" x14ac:dyDescent="0.25">
      <c r="A80" s="2" t="s">
        <v>251</v>
      </c>
      <c r="B80" s="4">
        <v>0.84</v>
      </c>
    </row>
    <row r="81" spans="1:2" s="1" customFormat="1" x14ac:dyDescent="0.25">
      <c r="A81" s="2" t="s">
        <v>252</v>
      </c>
      <c r="B81" s="4">
        <v>0.84</v>
      </c>
    </row>
    <row r="82" spans="1:2" s="1" customFormat="1" x14ac:dyDescent="0.25">
      <c r="A82" s="2" t="s">
        <v>253</v>
      </c>
      <c r="B82" s="4">
        <v>0.84</v>
      </c>
    </row>
    <row r="83" spans="1:2" s="1" customFormat="1" x14ac:dyDescent="0.25">
      <c r="A83" s="2" t="s">
        <v>254</v>
      </c>
      <c r="B83" s="4">
        <v>0.84</v>
      </c>
    </row>
    <row r="84" spans="1:2" s="1" customFormat="1" x14ac:dyDescent="0.25">
      <c r="A84" s="2" t="s">
        <v>255</v>
      </c>
      <c r="B84" s="4">
        <v>0.84</v>
      </c>
    </row>
    <row r="85" spans="1:2" s="1" customFormat="1" x14ac:dyDescent="0.25">
      <c r="A85" s="2" t="s">
        <v>256</v>
      </c>
      <c r="B85" s="4">
        <v>0.84</v>
      </c>
    </row>
    <row r="86" spans="1:2" s="1" customFormat="1" x14ac:dyDescent="0.25">
      <c r="A86" s="2" t="s">
        <v>257</v>
      </c>
      <c r="B86" s="4">
        <v>0.84</v>
      </c>
    </row>
    <row r="87" spans="1:2" s="1" customFormat="1" x14ac:dyDescent="0.25">
      <c r="A87" s="2" t="s">
        <v>258</v>
      </c>
      <c r="B87" s="4">
        <v>0.84</v>
      </c>
    </row>
    <row r="88" spans="1:2" s="1" customFormat="1" x14ac:dyDescent="0.25">
      <c r="A88" s="2" t="s">
        <v>259</v>
      </c>
      <c r="B88" s="4">
        <v>0.84</v>
      </c>
    </row>
    <row r="89" spans="1:2" s="1" customFormat="1" x14ac:dyDescent="0.25">
      <c r="A89" s="2" t="s">
        <v>260</v>
      </c>
      <c r="B89" s="4">
        <v>0.84</v>
      </c>
    </row>
    <row r="90" spans="1:2" s="1" customFormat="1" x14ac:dyDescent="0.25">
      <c r="A90" s="2" t="s">
        <v>261</v>
      </c>
      <c r="B90" s="4">
        <v>0.84</v>
      </c>
    </row>
    <row r="91" spans="1:2" s="1" customFormat="1" x14ac:dyDescent="0.25">
      <c r="A91" s="2" t="s">
        <v>127</v>
      </c>
      <c r="B91" s="4">
        <v>0.84</v>
      </c>
    </row>
    <row r="92" spans="1:2" s="1" customFormat="1" x14ac:dyDescent="0.25">
      <c r="A92" s="2" t="s">
        <v>126</v>
      </c>
      <c r="B92" s="4">
        <v>0.84</v>
      </c>
    </row>
    <row r="93" spans="1:2" s="1" customFormat="1" x14ac:dyDescent="0.25">
      <c r="A93" s="2" t="s">
        <v>262</v>
      </c>
      <c r="B93" s="4">
        <v>0.84</v>
      </c>
    </row>
    <row r="94" spans="1:2" s="1" customFormat="1" x14ac:dyDescent="0.25">
      <c r="A94" s="2" t="s">
        <v>49</v>
      </c>
      <c r="B94" s="4">
        <v>0.84</v>
      </c>
    </row>
    <row r="95" spans="1:2" s="1" customFormat="1" x14ac:dyDescent="0.25">
      <c r="A95" s="2" t="s">
        <v>148</v>
      </c>
      <c r="B95" s="4">
        <v>0.84</v>
      </c>
    </row>
    <row r="96" spans="1:2" s="1" customFormat="1" x14ac:dyDescent="0.25">
      <c r="A96" s="2" t="s">
        <v>263</v>
      </c>
      <c r="B96" s="4">
        <v>0.84</v>
      </c>
    </row>
    <row r="97" spans="1:2" s="1" customFormat="1" x14ac:dyDescent="0.25">
      <c r="A97" s="2" t="s">
        <v>264</v>
      </c>
      <c r="B97" s="4">
        <v>0.84</v>
      </c>
    </row>
    <row r="98" spans="1:2" s="1" customFormat="1" x14ac:dyDescent="0.25">
      <c r="A98" s="2" t="s">
        <v>265</v>
      </c>
      <c r="B98" s="4">
        <v>0.84</v>
      </c>
    </row>
    <row r="99" spans="1:2" s="1" customFormat="1" x14ac:dyDescent="0.25">
      <c r="A99" s="2" t="s">
        <v>266</v>
      </c>
      <c r="B99" s="4">
        <v>0.84</v>
      </c>
    </row>
    <row r="100" spans="1:2" s="1" customFormat="1" x14ac:dyDescent="0.25">
      <c r="A100" s="2" t="s">
        <v>267</v>
      </c>
      <c r="B100" s="4">
        <v>0.84</v>
      </c>
    </row>
    <row r="101" spans="1:2" s="1" customFormat="1" x14ac:dyDescent="0.25">
      <c r="A101" s="2" t="s">
        <v>268</v>
      </c>
      <c r="B101" s="4">
        <v>0.84</v>
      </c>
    </row>
    <row r="102" spans="1:2" s="1" customFormat="1" x14ac:dyDescent="0.25">
      <c r="A102" s="2" t="s">
        <v>269</v>
      </c>
      <c r="B102" s="4">
        <v>0.84</v>
      </c>
    </row>
    <row r="103" spans="1:2" s="1" customFormat="1" x14ac:dyDescent="0.25">
      <c r="A103" s="2" t="s">
        <v>270</v>
      </c>
      <c r="B103" s="4">
        <v>0.84</v>
      </c>
    </row>
    <row r="104" spans="1:2" s="1" customFormat="1" x14ac:dyDescent="0.25">
      <c r="A104" s="2" t="s">
        <v>271</v>
      </c>
      <c r="B104" s="4">
        <v>0.84</v>
      </c>
    </row>
    <row r="105" spans="1:2" s="1" customFormat="1" x14ac:dyDescent="0.25">
      <c r="A105" s="2" t="s">
        <v>272</v>
      </c>
      <c r="B105" s="4">
        <v>0.84</v>
      </c>
    </row>
    <row r="106" spans="1:2" s="1" customFormat="1" x14ac:dyDescent="0.25">
      <c r="A106" s="2" t="s">
        <v>125</v>
      </c>
      <c r="B106" s="4">
        <v>0.84</v>
      </c>
    </row>
    <row r="107" spans="1:2" s="1" customFormat="1" x14ac:dyDescent="0.25">
      <c r="A107" s="2" t="s">
        <v>273</v>
      </c>
      <c r="B107" s="4">
        <v>0.84</v>
      </c>
    </row>
    <row r="108" spans="1:2" s="1" customFormat="1" x14ac:dyDescent="0.25">
      <c r="A108" s="2" t="s">
        <v>87</v>
      </c>
      <c r="B108" s="4">
        <v>0.84</v>
      </c>
    </row>
    <row r="109" spans="1:2" s="1" customFormat="1" x14ac:dyDescent="0.25">
      <c r="A109" s="2" t="s">
        <v>274</v>
      </c>
      <c r="B109" s="4">
        <v>0.84</v>
      </c>
    </row>
    <row r="110" spans="1:2" s="1" customFormat="1" x14ac:dyDescent="0.25">
      <c r="A110" s="2" t="s">
        <v>275</v>
      </c>
      <c r="B110" s="4">
        <v>0.84</v>
      </c>
    </row>
    <row r="111" spans="1:2" s="1" customFormat="1" x14ac:dyDescent="0.25">
      <c r="A111" s="2" t="s">
        <v>276</v>
      </c>
      <c r="B111" s="4">
        <v>0.84</v>
      </c>
    </row>
    <row r="112" spans="1:2" s="1" customFormat="1" x14ac:dyDescent="0.25">
      <c r="A112" s="2" t="s">
        <v>277</v>
      </c>
      <c r="B112" s="4">
        <v>0.84</v>
      </c>
    </row>
    <row r="113" spans="1:2" s="1" customFormat="1" x14ac:dyDescent="0.25">
      <c r="A113" s="2" t="s">
        <v>278</v>
      </c>
      <c r="B113" s="4">
        <v>0.84</v>
      </c>
    </row>
    <row r="114" spans="1:2" s="1" customFormat="1" x14ac:dyDescent="0.25">
      <c r="A114" s="2" t="s">
        <v>82</v>
      </c>
      <c r="B114" s="4">
        <v>0.84</v>
      </c>
    </row>
    <row r="115" spans="1:2" s="1" customFormat="1" x14ac:dyDescent="0.25">
      <c r="A115" s="2" t="s">
        <v>279</v>
      </c>
      <c r="B115" s="4">
        <v>0.84</v>
      </c>
    </row>
    <row r="116" spans="1:2" s="1" customFormat="1" x14ac:dyDescent="0.25">
      <c r="A116" s="2" t="s">
        <v>280</v>
      </c>
      <c r="B116" s="4">
        <v>0.84</v>
      </c>
    </row>
    <row r="117" spans="1:2" s="1" customFormat="1" x14ac:dyDescent="0.25">
      <c r="A117" s="2" t="s">
        <v>281</v>
      </c>
      <c r="B117" s="4">
        <v>0.84</v>
      </c>
    </row>
    <row r="118" spans="1:2" s="1" customFormat="1" x14ac:dyDescent="0.25">
      <c r="A118" s="2" t="s">
        <v>282</v>
      </c>
      <c r="B118" s="4">
        <v>0.84</v>
      </c>
    </row>
    <row r="119" spans="1:2" s="1" customFormat="1" x14ac:dyDescent="0.25">
      <c r="A119" s="2" t="s">
        <v>283</v>
      </c>
      <c r="B119" s="4">
        <v>0.84</v>
      </c>
    </row>
    <row r="120" spans="1:2" s="1" customFormat="1" x14ac:dyDescent="0.25">
      <c r="A120" s="2" t="s">
        <v>284</v>
      </c>
      <c r="B120" s="4">
        <v>0.84</v>
      </c>
    </row>
    <row r="121" spans="1:2" s="1" customFormat="1" x14ac:dyDescent="0.25">
      <c r="A121" s="2" t="s">
        <v>124</v>
      </c>
      <c r="B121" s="4">
        <v>0.84</v>
      </c>
    </row>
    <row r="122" spans="1:2" s="1" customFormat="1" x14ac:dyDescent="0.25">
      <c r="A122" s="2" t="s">
        <v>123</v>
      </c>
      <c r="B122" s="4">
        <v>0.84</v>
      </c>
    </row>
    <row r="123" spans="1:2" s="1" customFormat="1" x14ac:dyDescent="0.25">
      <c r="A123" s="2" t="s">
        <v>285</v>
      </c>
      <c r="B123" s="4">
        <v>0.84</v>
      </c>
    </row>
    <row r="124" spans="1:2" s="1" customFormat="1" x14ac:dyDescent="0.25">
      <c r="A124" s="2" t="s">
        <v>286</v>
      </c>
      <c r="B124" s="4">
        <v>0.84</v>
      </c>
    </row>
    <row r="125" spans="1:2" s="1" customFormat="1" x14ac:dyDescent="0.25">
      <c r="A125" s="2" t="s">
        <v>287</v>
      </c>
      <c r="B125" s="4">
        <v>0.84</v>
      </c>
    </row>
    <row r="126" spans="1:2" s="1" customFormat="1" x14ac:dyDescent="0.25">
      <c r="A126" s="2" t="s">
        <v>288</v>
      </c>
      <c r="B126" s="4">
        <v>0.84</v>
      </c>
    </row>
    <row r="127" spans="1:2" s="1" customFormat="1" x14ac:dyDescent="0.25">
      <c r="A127" s="2" t="s">
        <v>150</v>
      </c>
      <c r="B127" s="4">
        <v>0.84</v>
      </c>
    </row>
    <row r="128" spans="1:2" s="1" customFormat="1" x14ac:dyDescent="0.25">
      <c r="A128" s="2" t="s">
        <v>41</v>
      </c>
      <c r="B128" s="4">
        <v>0.84</v>
      </c>
    </row>
    <row r="129" spans="1:2" s="1" customFormat="1" x14ac:dyDescent="0.25">
      <c r="A129" s="2" t="s">
        <v>79</v>
      </c>
      <c r="B129" s="4">
        <v>0.84</v>
      </c>
    </row>
    <row r="130" spans="1:2" s="1" customFormat="1" x14ac:dyDescent="0.25">
      <c r="A130" s="2" t="s">
        <v>289</v>
      </c>
      <c r="B130" s="4">
        <v>0.84</v>
      </c>
    </row>
    <row r="131" spans="1:2" s="1" customFormat="1" x14ac:dyDescent="0.25">
      <c r="A131" s="2" t="s">
        <v>290</v>
      </c>
      <c r="B131" s="4">
        <v>0.84</v>
      </c>
    </row>
    <row r="132" spans="1:2" s="1" customFormat="1" x14ac:dyDescent="0.25">
      <c r="A132" s="2" t="s">
        <v>291</v>
      </c>
      <c r="B132" s="4">
        <v>0.84</v>
      </c>
    </row>
    <row r="133" spans="1:2" s="1" customFormat="1" x14ac:dyDescent="0.25">
      <c r="A133" s="2" t="s">
        <v>292</v>
      </c>
      <c r="B133" s="4">
        <v>0.84</v>
      </c>
    </row>
    <row r="134" spans="1:2" s="1" customFormat="1" x14ac:dyDescent="0.25">
      <c r="A134" s="2" t="s">
        <v>293</v>
      </c>
      <c r="B134" s="4">
        <v>0.84</v>
      </c>
    </row>
    <row r="135" spans="1:2" s="1" customFormat="1" x14ac:dyDescent="0.25">
      <c r="A135" s="2" t="s">
        <v>294</v>
      </c>
      <c r="B135" s="4">
        <v>0.84</v>
      </c>
    </row>
    <row r="136" spans="1:2" s="1" customFormat="1" x14ac:dyDescent="0.25">
      <c r="A136" s="2" t="s">
        <v>135</v>
      </c>
      <c r="B136" s="4">
        <v>0.84</v>
      </c>
    </row>
    <row r="137" spans="1:2" s="1" customFormat="1" x14ac:dyDescent="0.25">
      <c r="A137" s="2" t="s">
        <v>295</v>
      </c>
      <c r="B137" s="4">
        <v>0.84</v>
      </c>
    </row>
    <row r="138" spans="1:2" s="1" customFormat="1" x14ac:dyDescent="0.25">
      <c r="A138" s="2" t="s">
        <v>296</v>
      </c>
      <c r="B138" s="4">
        <v>0.84</v>
      </c>
    </row>
    <row r="139" spans="1:2" s="1" customFormat="1" x14ac:dyDescent="0.25">
      <c r="A139" s="2" t="s">
        <v>297</v>
      </c>
      <c r="B139" s="4">
        <v>0.84</v>
      </c>
    </row>
    <row r="140" spans="1:2" s="1" customFormat="1" x14ac:dyDescent="0.25">
      <c r="A140" s="2" t="s">
        <v>298</v>
      </c>
      <c r="B140" s="4">
        <v>0.84</v>
      </c>
    </row>
    <row r="141" spans="1:2" s="1" customFormat="1" x14ac:dyDescent="0.25">
      <c r="A141" s="2" t="s">
        <v>299</v>
      </c>
      <c r="B141" s="4">
        <v>0.84</v>
      </c>
    </row>
    <row r="142" spans="1:2" s="1" customFormat="1" x14ac:dyDescent="0.25">
      <c r="A142" s="2" t="s">
        <v>300</v>
      </c>
      <c r="B142" s="4">
        <v>0.84</v>
      </c>
    </row>
    <row r="143" spans="1:2" s="1" customFormat="1" x14ac:dyDescent="0.25">
      <c r="A143" s="2" t="s">
        <v>301</v>
      </c>
      <c r="B143" s="4">
        <v>0.84</v>
      </c>
    </row>
    <row r="144" spans="1:2" s="1" customFormat="1" x14ac:dyDescent="0.25">
      <c r="A144" s="2" t="s">
        <v>302</v>
      </c>
      <c r="B144" s="4">
        <v>0.84</v>
      </c>
    </row>
    <row r="145" spans="1:2" s="1" customFormat="1" x14ac:dyDescent="0.25">
      <c r="A145" s="2" t="s">
        <v>303</v>
      </c>
      <c r="B145" s="4">
        <v>0.84</v>
      </c>
    </row>
    <row r="146" spans="1:2" s="1" customFormat="1" x14ac:dyDescent="0.25">
      <c r="A146" s="2" t="s">
        <v>304</v>
      </c>
      <c r="B146" s="4">
        <v>0.84</v>
      </c>
    </row>
    <row r="147" spans="1:2" s="1" customFormat="1" x14ac:dyDescent="0.25">
      <c r="A147" s="2" t="s">
        <v>305</v>
      </c>
      <c r="B147" s="4">
        <v>0.84</v>
      </c>
    </row>
    <row r="148" spans="1:2" s="1" customFormat="1" x14ac:dyDescent="0.25">
      <c r="A148" s="2" t="s">
        <v>306</v>
      </c>
      <c r="B148" s="4">
        <v>0.84</v>
      </c>
    </row>
    <row r="149" spans="1:2" s="1" customFormat="1" x14ac:dyDescent="0.25">
      <c r="A149" s="2" t="s">
        <v>307</v>
      </c>
      <c r="B149" s="4">
        <v>0.84</v>
      </c>
    </row>
    <row r="150" spans="1:2" s="1" customFormat="1" x14ac:dyDescent="0.25">
      <c r="A150" s="2" t="s">
        <v>308</v>
      </c>
      <c r="B150" s="4">
        <v>0.84</v>
      </c>
    </row>
    <row r="151" spans="1:2" s="1" customFormat="1" x14ac:dyDescent="0.25">
      <c r="A151" s="2" t="s">
        <v>309</v>
      </c>
      <c r="B151" s="4">
        <v>0.84</v>
      </c>
    </row>
    <row r="152" spans="1:2" s="1" customFormat="1" x14ac:dyDescent="0.25">
      <c r="A152" s="2" t="s">
        <v>134</v>
      </c>
      <c r="B152" s="4">
        <v>0.84</v>
      </c>
    </row>
    <row r="153" spans="1:2" s="1" customFormat="1" x14ac:dyDescent="0.25">
      <c r="A153" s="2" t="s">
        <v>122</v>
      </c>
      <c r="B153" s="4">
        <v>0.84</v>
      </c>
    </row>
    <row r="154" spans="1:2" s="1" customFormat="1" x14ac:dyDescent="0.25">
      <c r="A154" s="2" t="s">
        <v>140</v>
      </c>
      <c r="B154" s="4">
        <v>0.84</v>
      </c>
    </row>
    <row r="155" spans="1:2" s="1" customFormat="1" x14ac:dyDescent="0.25">
      <c r="A155" s="2" t="s">
        <v>310</v>
      </c>
      <c r="B155" s="4">
        <v>0.84</v>
      </c>
    </row>
    <row r="156" spans="1:2" s="1" customFormat="1" x14ac:dyDescent="0.25">
      <c r="A156" s="2" t="s">
        <v>311</v>
      </c>
      <c r="B156" s="4">
        <v>0.84</v>
      </c>
    </row>
    <row r="157" spans="1:2" s="1" customFormat="1" x14ac:dyDescent="0.25">
      <c r="A157" s="2" t="s">
        <v>152</v>
      </c>
      <c r="B157" s="4">
        <v>0.84</v>
      </c>
    </row>
    <row r="158" spans="1:2" s="1" customFormat="1" x14ac:dyDescent="0.25">
      <c r="A158" s="2" t="s">
        <v>312</v>
      </c>
      <c r="B158" s="4">
        <v>0.84</v>
      </c>
    </row>
    <row r="159" spans="1:2" s="1" customFormat="1" x14ac:dyDescent="0.25">
      <c r="A159" s="2" t="s">
        <v>313</v>
      </c>
      <c r="B159" s="4">
        <v>0.84</v>
      </c>
    </row>
    <row r="160" spans="1:2" s="1" customFormat="1" x14ac:dyDescent="0.25">
      <c r="A160" s="2" t="s">
        <v>314</v>
      </c>
      <c r="B160" s="4">
        <v>0.84</v>
      </c>
    </row>
    <row r="161" spans="1:2" s="1" customFormat="1" x14ac:dyDescent="0.25">
      <c r="A161" s="2" t="s">
        <v>315</v>
      </c>
      <c r="B161" s="4">
        <v>0.84</v>
      </c>
    </row>
    <row r="162" spans="1:2" s="1" customFormat="1" x14ac:dyDescent="0.25">
      <c r="A162" s="2" t="s">
        <v>316</v>
      </c>
      <c r="B162" s="4">
        <v>0.84</v>
      </c>
    </row>
    <row r="163" spans="1:2" s="1" customFormat="1" x14ac:dyDescent="0.25">
      <c r="A163" s="2" t="s">
        <v>45</v>
      </c>
      <c r="B163" s="4">
        <v>0.84</v>
      </c>
    </row>
    <row r="164" spans="1:2" s="1" customFormat="1" x14ac:dyDescent="0.25">
      <c r="A164" s="2" t="s">
        <v>317</v>
      </c>
      <c r="B164" s="4">
        <v>0.84</v>
      </c>
    </row>
    <row r="165" spans="1:2" s="1" customFormat="1" x14ac:dyDescent="0.25">
      <c r="A165" s="2" t="s">
        <v>85</v>
      </c>
      <c r="B165" s="4">
        <v>0.84</v>
      </c>
    </row>
    <row r="166" spans="1:2" s="1" customFormat="1" x14ac:dyDescent="0.25">
      <c r="A166" s="2" t="s">
        <v>318</v>
      </c>
      <c r="B166" s="4">
        <v>0.84</v>
      </c>
    </row>
    <row r="167" spans="1:2" s="1" customFormat="1" x14ac:dyDescent="0.25">
      <c r="A167" s="2" t="s">
        <v>76</v>
      </c>
      <c r="B167" s="4">
        <v>0.84</v>
      </c>
    </row>
    <row r="168" spans="1:2" s="1" customFormat="1" x14ac:dyDescent="0.25">
      <c r="A168" s="2" t="s">
        <v>319</v>
      </c>
      <c r="B168" s="4">
        <v>0.84</v>
      </c>
    </row>
    <row r="169" spans="1:2" s="1" customFormat="1" x14ac:dyDescent="0.25">
      <c r="A169" s="2" t="s">
        <v>320</v>
      </c>
      <c r="B169" s="4">
        <v>0.84</v>
      </c>
    </row>
    <row r="170" spans="1:2" s="1" customFormat="1" x14ac:dyDescent="0.25">
      <c r="A170" s="2" t="s">
        <v>321</v>
      </c>
      <c r="B170" s="4">
        <v>0.84</v>
      </c>
    </row>
    <row r="171" spans="1:2" s="1" customFormat="1" x14ac:dyDescent="0.25">
      <c r="A171" s="2" t="s">
        <v>322</v>
      </c>
      <c r="B171" s="4">
        <v>0.84</v>
      </c>
    </row>
    <row r="172" spans="1:2" s="1" customFormat="1" x14ac:dyDescent="0.25">
      <c r="A172" s="2" t="s">
        <v>74</v>
      </c>
      <c r="B172" s="4">
        <v>0.84</v>
      </c>
    </row>
    <row r="173" spans="1:2" s="1" customFormat="1" x14ac:dyDescent="0.25">
      <c r="A173" s="2" t="s">
        <v>95</v>
      </c>
      <c r="B173" s="4">
        <v>0.84</v>
      </c>
    </row>
    <row r="174" spans="1:2" s="1" customFormat="1" x14ac:dyDescent="0.25">
      <c r="A174" s="2" t="s">
        <v>323</v>
      </c>
      <c r="B174" s="4">
        <v>0.84</v>
      </c>
    </row>
    <row r="175" spans="1:2" s="1" customFormat="1" x14ac:dyDescent="0.25">
      <c r="A175" s="2" t="s">
        <v>324</v>
      </c>
      <c r="B175" s="4">
        <v>0.84</v>
      </c>
    </row>
    <row r="176" spans="1:2" s="1" customFormat="1" x14ac:dyDescent="0.25">
      <c r="A176" s="2" t="s">
        <v>325</v>
      </c>
      <c r="B176" s="4">
        <v>0.84</v>
      </c>
    </row>
    <row r="177" spans="1:2" s="1" customFormat="1" x14ac:dyDescent="0.25">
      <c r="A177" s="2" t="s">
        <v>326</v>
      </c>
      <c r="B177" s="4">
        <v>0.84</v>
      </c>
    </row>
    <row r="178" spans="1:2" s="1" customFormat="1" x14ac:dyDescent="0.25">
      <c r="A178" s="2" t="s">
        <v>327</v>
      </c>
      <c r="B178" s="4">
        <v>0.84</v>
      </c>
    </row>
    <row r="179" spans="1:2" s="1" customFormat="1" x14ac:dyDescent="0.25">
      <c r="A179" s="2" t="s">
        <v>328</v>
      </c>
      <c r="B179" s="4">
        <v>0.84</v>
      </c>
    </row>
    <row r="180" spans="1:2" s="1" customFormat="1" x14ac:dyDescent="0.25">
      <c r="A180" s="2" t="s">
        <v>329</v>
      </c>
      <c r="B180" s="4">
        <v>0.84</v>
      </c>
    </row>
    <row r="181" spans="1:2" s="1" customFormat="1" x14ac:dyDescent="0.25">
      <c r="A181" s="2" t="s">
        <v>330</v>
      </c>
      <c r="B181" s="4">
        <v>0.84</v>
      </c>
    </row>
    <row r="182" spans="1:2" s="1" customFormat="1" x14ac:dyDescent="0.25">
      <c r="A182" s="2" t="s">
        <v>121</v>
      </c>
      <c r="B182" s="4">
        <v>0.84</v>
      </c>
    </row>
    <row r="183" spans="1:2" s="1" customFormat="1" x14ac:dyDescent="0.25">
      <c r="A183" s="2" t="s">
        <v>120</v>
      </c>
      <c r="B183" s="4">
        <v>0.84</v>
      </c>
    </row>
    <row r="184" spans="1:2" s="1" customFormat="1" x14ac:dyDescent="0.25">
      <c r="A184" s="2" t="s">
        <v>331</v>
      </c>
      <c r="B184" s="4">
        <v>0.84</v>
      </c>
    </row>
    <row r="185" spans="1:2" s="1" customFormat="1" x14ac:dyDescent="0.25">
      <c r="A185" s="2" t="s">
        <v>332</v>
      </c>
      <c r="B185" s="4">
        <v>0.84</v>
      </c>
    </row>
    <row r="186" spans="1:2" s="1" customFormat="1" x14ac:dyDescent="0.25">
      <c r="A186" s="2" t="s">
        <v>333</v>
      </c>
      <c r="B186" s="4">
        <v>0.84</v>
      </c>
    </row>
    <row r="187" spans="1:2" s="1" customFormat="1" x14ac:dyDescent="0.25">
      <c r="A187" s="2" t="s">
        <v>334</v>
      </c>
      <c r="B187" s="4">
        <v>0.84</v>
      </c>
    </row>
    <row r="188" spans="1:2" s="1" customFormat="1" x14ac:dyDescent="0.25">
      <c r="A188" s="2" t="s">
        <v>335</v>
      </c>
      <c r="B188" s="4">
        <v>0.84</v>
      </c>
    </row>
    <row r="189" spans="1:2" s="1" customFormat="1" x14ac:dyDescent="0.25">
      <c r="A189" s="2" t="s">
        <v>154</v>
      </c>
      <c r="B189" s="4">
        <v>0.84</v>
      </c>
    </row>
    <row r="190" spans="1:2" s="1" customFormat="1" x14ac:dyDescent="0.25">
      <c r="A190" s="2" t="s">
        <v>336</v>
      </c>
      <c r="B190" s="4">
        <v>0.84</v>
      </c>
    </row>
    <row r="191" spans="1:2" s="1" customFormat="1" x14ac:dyDescent="0.25">
      <c r="A191" s="2" t="s">
        <v>337</v>
      </c>
      <c r="B191" s="4">
        <v>0.84</v>
      </c>
    </row>
    <row r="192" spans="1:2" s="1" customFormat="1" x14ac:dyDescent="0.25">
      <c r="A192" s="2" t="s">
        <v>338</v>
      </c>
      <c r="B192" s="4">
        <v>0.84</v>
      </c>
    </row>
    <row r="193" spans="1:2" s="1" customFormat="1" x14ac:dyDescent="0.25">
      <c r="A193" s="2" t="s">
        <v>339</v>
      </c>
      <c r="B193" s="4">
        <v>0.84</v>
      </c>
    </row>
    <row r="194" spans="1:2" s="1" customFormat="1" x14ac:dyDescent="0.25">
      <c r="A194" s="2" t="s">
        <v>340</v>
      </c>
      <c r="B194" s="4">
        <v>0.84</v>
      </c>
    </row>
    <row r="195" spans="1:2" s="1" customFormat="1" x14ac:dyDescent="0.25">
      <c r="A195" s="2" t="s">
        <v>341</v>
      </c>
      <c r="B195" s="4">
        <v>0.84</v>
      </c>
    </row>
    <row r="196" spans="1:2" s="1" customFormat="1" x14ac:dyDescent="0.25">
      <c r="A196" s="2" t="s">
        <v>342</v>
      </c>
      <c r="B196" s="4">
        <v>0.84</v>
      </c>
    </row>
    <row r="197" spans="1:2" s="1" customFormat="1" x14ac:dyDescent="0.25">
      <c r="A197" s="2" t="s">
        <v>89</v>
      </c>
      <c r="B197" s="4">
        <v>0.84</v>
      </c>
    </row>
    <row r="198" spans="1:2" s="1" customFormat="1" x14ac:dyDescent="0.25">
      <c r="A198" s="2" t="s">
        <v>343</v>
      </c>
      <c r="B198" s="4">
        <v>0.84</v>
      </c>
    </row>
    <row r="199" spans="1:2" s="1" customFormat="1" x14ac:dyDescent="0.25">
      <c r="A199" s="2" t="s">
        <v>344</v>
      </c>
      <c r="B199" s="4">
        <v>0.84</v>
      </c>
    </row>
    <row r="200" spans="1:2" s="1" customFormat="1" x14ac:dyDescent="0.25">
      <c r="A200" s="2" t="s">
        <v>345</v>
      </c>
      <c r="B200" s="4">
        <v>0.84</v>
      </c>
    </row>
    <row r="201" spans="1:2" s="1" customFormat="1" x14ac:dyDescent="0.25">
      <c r="A201" s="2" t="s">
        <v>346</v>
      </c>
      <c r="B201" s="4">
        <v>0.84</v>
      </c>
    </row>
    <row r="202" spans="1:2" s="1" customFormat="1" x14ac:dyDescent="0.25">
      <c r="A202" s="2" t="s">
        <v>347</v>
      </c>
      <c r="B202" s="4">
        <v>0.84</v>
      </c>
    </row>
    <row r="203" spans="1:2" s="1" customFormat="1" x14ac:dyDescent="0.25">
      <c r="A203" s="2" t="s">
        <v>348</v>
      </c>
      <c r="B203" s="4">
        <v>0.84</v>
      </c>
    </row>
    <row r="204" spans="1:2" s="1" customFormat="1" x14ac:dyDescent="0.25">
      <c r="A204" s="2" t="s">
        <v>349</v>
      </c>
      <c r="B204" s="4">
        <v>0.84</v>
      </c>
    </row>
    <row r="205" spans="1:2" s="1" customFormat="1" x14ac:dyDescent="0.25">
      <c r="A205" s="2" t="s">
        <v>350</v>
      </c>
      <c r="B205" s="4">
        <v>0.84</v>
      </c>
    </row>
    <row r="206" spans="1:2" s="1" customFormat="1" x14ac:dyDescent="0.25">
      <c r="A206" s="2" t="s">
        <v>351</v>
      </c>
      <c r="B206" s="4">
        <v>0.84</v>
      </c>
    </row>
    <row r="207" spans="1:2" s="1" customFormat="1" x14ac:dyDescent="0.25">
      <c r="A207" s="2" t="s">
        <v>352</v>
      </c>
      <c r="B207" s="4">
        <v>0.84</v>
      </c>
    </row>
    <row r="208" spans="1:2" s="1" customFormat="1" x14ac:dyDescent="0.25">
      <c r="A208" s="2" t="s">
        <v>353</v>
      </c>
      <c r="B208" s="4">
        <v>0.84</v>
      </c>
    </row>
    <row r="209" spans="1:2" s="1" customFormat="1" x14ac:dyDescent="0.25">
      <c r="A209" s="2" t="s">
        <v>354</v>
      </c>
      <c r="B209" s="4">
        <v>0.84</v>
      </c>
    </row>
    <row r="210" spans="1:2" s="1" customFormat="1" x14ac:dyDescent="0.25">
      <c r="A210" s="2" t="s">
        <v>355</v>
      </c>
      <c r="B210" s="4">
        <v>0.84</v>
      </c>
    </row>
    <row r="211" spans="1:2" s="1" customFormat="1" x14ac:dyDescent="0.25">
      <c r="A211" s="2" t="s">
        <v>356</v>
      </c>
      <c r="B211" s="4">
        <v>0.84</v>
      </c>
    </row>
    <row r="212" spans="1:2" s="1" customFormat="1" x14ac:dyDescent="0.25">
      <c r="A212" s="2" t="s">
        <v>357</v>
      </c>
      <c r="B212" s="4">
        <v>0.84</v>
      </c>
    </row>
    <row r="213" spans="1:2" s="1" customFormat="1" x14ac:dyDescent="0.25">
      <c r="A213" s="2" t="s">
        <v>119</v>
      </c>
      <c r="B213" s="4">
        <v>0.84</v>
      </c>
    </row>
    <row r="214" spans="1:2" s="1" customFormat="1" x14ac:dyDescent="0.25">
      <c r="A214" s="2" t="s">
        <v>118</v>
      </c>
      <c r="B214" s="4">
        <v>0.84</v>
      </c>
    </row>
    <row r="215" spans="1:2" s="1" customFormat="1" x14ac:dyDescent="0.25">
      <c r="A215" s="2" t="s">
        <v>358</v>
      </c>
      <c r="B215" s="4">
        <v>0.84</v>
      </c>
    </row>
    <row r="216" spans="1:2" s="1" customFormat="1" x14ac:dyDescent="0.25">
      <c r="A216" s="2" t="s">
        <v>359</v>
      </c>
      <c r="B216" s="4">
        <v>0.84</v>
      </c>
    </row>
    <row r="217" spans="1:2" s="1" customFormat="1" x14ac:dyDescent="0.25">
      <c r="A217" s="2" t="s">
        <v>360</v>
      </c>
      <c r="B217" s="4">
        <v>0.84</v>
      </c>
    </row>
    <row r="218" spans="1:2" s="1" customFormat="1" x14ac:dyDescent="0.25">
      <c r="A218" s="2" t="s">
        <v>361</v>
      </c>
      <c r="B218" s="4">
        <v>0.84</v>
      </c>
    </row>
    <row r="219" spans="1:2" s="1" customFormat="1" x14ac:dyDescent="0.25">
      <c r="A219" s="2" t="s">
        <v>156</v>
      </c>
      <c r="B219" s="4">
        <v>0.84</v>
      </c>
    </row>
    <row r="220" spans="1:2" s="1" customFormat="1" x14ac:dyDescent="0.25">
      <c r="A220" s="2" t="s">
        <v>80</v>
      </c>
      <c r="B220" s="4">
        <v>0.84</v>
      </c>
    </row>
    <row r="221" spans="1:2" s="1" customFormat="1" x14ac:dyDescent="0.25">
      <c r="A221" s="2" t="s">
        <v>362</v>
      </c>
      <c r="B221" s="4">
        <v>0.84</v>
      </c>
    </row>
    <row r="222" spans="1:2" s="1" customFormat="1" x14ac:dyDescent="0.25">
      <c r="A222" s="2" t="s">
        <v>363</v>
      </c>
      <c r="B222" s="4">
        <v>0.84</v>
      </c>
    </row>
    <row r="223" spans="1:2" s="1" customFormat="1" x14ac:dyDescent="0.25">
      <c r="A223" s="2" t="s">
        <v>364</v>
      </c>
      <c r="B223" s="4">
        <v>0.84</v>
      </c>
    </row>
    <row r="224" spans="1:2" s="1" customFormat="1" x14ac:dyDescent="0.25">
      <c r="A224" s="2" t="s">
        <v>365</v>
      </c>
      <c r="B224" s="4">
        <v>0.84</v>
      </c>
    </row>
    <row r="225" spans="1:2" s="1" customFormat="1" x14ac:dyDescent="0.25">
      <c r="A225" s="2" t="s">
        <v>366</v>
      </c>
      <c r="B225" s="4">
        <v>0.84</v>
      </c>
    </row>
    <row r="226" spans="1:2" s="1" customFormat="1" x14ac:dyDescent="0.25">
      <c r="A226" s="2" t="s">
        <v>367</v>
      </c>
      <c r="B226" s="4">
        <v>0.84</v>
      </c>
    </row>
    <row r="227" spans="1:2" s="1" customFormat="1" x14ac:dyDescent="0.25">
      <c r="A227" s="2" t="s">
        <v>368</v>
      </c>
      <c r="B227" s="4">
        <v>0.84</v>
      </c>
    </row>
    <row r="228" spans="1:2" s="1" customFormat="1" x14ac:dyDescent="0.25">
      <c r="A228" s="2" t="s">
        <v>117</v>
      </c>
      <c r="B228" s="4">
        <v>0.84</v>
      </c>
    </row>
    <row r="229" spans="1:2" s="1" customFormat="1" x14ac:dyDescent="0.25">
      <c r="A229" s="2" t="s">
        <v>369</v>
      </c>
      <c r="B229" s="4">
        <v>0.84</v>
      </c>
    </row>
    <row r="230" spans="1:2" s="1" customFormat="1" x14ac:dyDescent="0.25">
      <c r="A230" s="2" t="s">
        <v>370</v>
      </c>
      <c r="B230" s="4">
        <v>0.84</v>
      </c>
    </row>
    <row r="231" spans="1:2" s="1" customFormat="1" x14ac:dyDescent="0.25">
      <c r="A231" s="2" t="s">
        <v>371</v>
      </c>
      <c r="B231" s="4">
        <v>0.84</v>
      </c>
    </row>
    <row r="232" spans="1:2" s="1" customFormat="1" x14ac:dyDescent="0.25">
      <c r="A232" s="2" t="s">
        <v>372</v>
      </c>
      <c r="B232" s="4">
        <v>0.84</v>
      </c>
    </row>
    <row r="233" spans="1:2" s="1" customFormat="1" x14ac:dyDescent="0.25">
      <c r="A233" s="2" t="s">
        <v>61</v>
      </c>
      <c r="B233" s="4">
        <v>0.84</v>
      </c>
    </row>
    <row r="234" spans="1:2" s="1" customFormat="1" x14ac:dyDescent="0.25">
      <c r="A234" s="2" t="s">
        <v>373</v>
      </c>
      <c r="B234" s="4">
        <v>0.84</v>
      </c>
    </row>
    <row r="235" spans="1:2" s="1" customFormat="1" x14ac:dyDescent="0.25">
      <c r="A235" s="2" t="s">
        <v>374</v>
      </c>
      <c r="B235" s="4">
        <v>0.84</v>
      </c>
    </row>
    <row r="236" spans="1:2" s="1" customFormat="1" x14ac:dyDescent="0.25">
      <c r="A236" s="2" t="s">
        <v>375</v>
      </c>
      <c r="B236" s="4">
        <v>0.84</v>
      </c>
    </row>
    <row r="237" spans="1:2" s="1" customFormat="1" x14ac:dyDescent="0.25">
      <c r="A237" s="2" t="s">
        <v>376</v>
      </c>
      <c r="B237" s="4">
        <v>0.84</v>
      </c>
    </row>
    <row r="238" spans="1:2" s="1" customFormat="1" x14ac:dyDescent="0.25">
      <c r="A238" s="2" t="s">
        <v>377</v>
      </c>
      <c r="B238" s="4">
        <v>0.84</v>
      </c>
    </row>
    <row r="239" spans="1:2" s="1" customFormat="1" x14ac:dyDescent="0.25">
      <c r="A239" s="2" t="s">
        <v>378</v>
      </c>
      <c r="B239" s="4">
        <v>0.84</v>
      </c>
    </row>
    <row r="240" spans="1:2" s="1" customFormat="1" x14ac:dyDescent="0.25">
      <c r="A240" s="2" t="s">
        <v>379</v>
      </c>
      <c r="B240" s="4">
        <v>0.84</v>
      </c>
    </row>
    <row r="241" spans="1:2" s="1" customFormat="1" x14ac:dyDescent="0.25">
      <c r="A241" s="2" t="s">
        <v>380</v>
      </c>
      <c r="B241" s="4">
        <v>0.84</v>
      </c>
    </row>
    <row r="242" spans="1:2" s="1" customFormat="1" x14ac:dyDescent="0.25">
      <c r="A242" s="2" t="s">
        <v>381</v>
      </c>
      <c r="B242" s="4">
        <v>0.84</v>
      </c>
    </row>
    <row r="243" spans="1:2" s="1" customFormat="1" x14ac:dyDescent="0.25">
      <c r="A243" s="2" t="s">
        <v>382</v>
      </c>
      <c r="B243" s="4">
        <v>0.84</v>
      </c>
    </row>
    <row r="244" spans="1:2" s="1" customFormat="1" x14ac:dyDescent="0.25">
      <c r="A244" s="2" t="s">
        <v>116</v>
      </c>
      <c r="B244" s="4">
        <v>0.84</v>
      </c>
    </row>
    <row r="245" spans="1:2" s="1" customFormat="1" x14ac:dyDescent="0.25">
      <c r="A245" s="2" t="s">
        <v>115</v>
      </c>
      <c r="B245" s="4">
        <v>0.84</v>
      </c>
    </row>
    <row r="246" spans="1:2" s="1" customFormat="1" x14ac:dyDescent="0.25">
      <c r="A246" s="2" t="s">
        <v>141</v>
      </c>
      <c r="B246" s="4">
        <v>0.84</v>
      </c>
    </row>
    <row r="247" spans="1:2" s="1" customFormat="1" x14ac:dyDescent="0.25">
      <c r="A247" s="2" t="s">
        <v>383</v>
      </c>
      <c r="B247" s="4">
        <v>0.84</v>
      </c>
    </row>
    <row r="248" spans="1:2" s="1" customFormat="1" x14ac:dyDescent="0.25">
      <c r="A248" s="2" t="s">
        <v>384</v>
      </c>
      <c r="B248" s="4">
        <v>0.84</v>
      </c>
    </row>
    <row r="249" spans="1:2" s="1" customFormat="1" x14ac:dyDescent="0.25">
      <c r="A249" s="2" t="s">
        <v>158</v>
      </c>
      <c r="B249" s="4">
        <v>0.84</v>
      </c>
    </row>
    <row r="250" spans="1:2" s="1" customFormat="1" x14ac:dyDescent="0.25">
      <c r="A250" s="2" t="s">
        <v>385</v>
      </c>
      <c r="B250" s="4">
        <v>0.84</v>
      </c>
    </row>
    <row r="251" spans="1:2" s="1" customFormat="1" x14ac:dyDescent="0.25">
      <c r="A251" s="2" t="s">
        <v>386</v>
      </c>
      <c r="B251" s="4">
        <v>0.84</v>
      </c>
    </row>
    <row r="252" spans="1:2" s="1" customFormat="1" x14ac:dyDescent="0.25">
      <c r="A252" s="2" t="s">
        <v>387</v>
      </c>
      <c r="B252" s="4">
        <v>0.84</v>
      </c>
    </row>
    <row r="253" spans="1:2" s="1" customFormat="1" x14ac:dyDescent="0.25">
      <c r="A253" s="2" t="s">
        <v>388</v>
      </c>
      <c r="B253" s="4">
        <v>0.84</v>
      </c>
    </row>
    <row r="254" spans="1:2" s="1" customFormat="1" x14ac:dyDescent="0.25">
      <c r="A254" s="2" t="s">
        <v>389</v>
      </c>
      <c r="B254" s="4">
        <v>0.84</v>
      </c>
    </row>
    <row r="255" spans="1:2" s="1" customFormat="1" x14ac:dyDescent="0.25">
      <c r="A255" s="2" t="s">
        <v>88</v>
      </c>
      <c r="B255" s="4">
        <v>0.84</v>
      </c>
    </row>
    <row r="256" spans="1:2" s="1" customFormat="1" x14ac:dyDescent="0.25">
      <c r="A256" s="2" t="s">
        <v>86</v>
      </c>
      <c r="B256" s="4">
        <v>0.84</v>
      </c>
    </row>
    <row r="257" spans="1:2" s="1" customFormat="1" x14ac:dyDescent="0.25">
      <c r="A257" s="2" t="s">
        <v>390</v>
      </c>
      <c r="B257" s="4">
        <v>0.84</v>
      </c>
    </row>
    <row r="258" spans="1:2" s="1" customFormat="1" x14ac:dyDescent="0.25">
      <c r="A258" s="2" t="s">
        <v>391</v>
      </c>
      <c r="B258" s="4">
        <v>0.84</v>
      </c>
    </row>
    <row r="259" spans="1:2" s="1" customFormat="1" x14ac:dyDescent="0.25">
      <c r="A259" s="2" t="s">
        <v>77</v>
      </c>
      <c r="B259" s="4">
        <v>0.84</v>
      </c>
    </row>
    <row r="260" spans="1:2" s="1" customFormat="1" x14ac:dyDescent="0.25">
      <c r="A260" s="2" t="s">
        <v>392</v>
      </c>
      <c r="B260" s="4">
        <v>0.84</v>
      </c>
    </row>
    <row r="261" spans="1:2" s="1" customFormat="1" x14ac:dyDescent="0.25">
      <c r="A261" s="2" t="s">
        <v>393</v>
      </c>
      <c r="B261" s="4">
        <v>0.84</v>
      </c>
    </row>
    <row r="262" spans="1:2" s="1" customFormat="1" x14ac:dyDescent="0.25">
      <c r="A262" s="2" t="s">
        <v>394</v>
      </c>
      <c r="B262" s="4">
        <v>0.84</v>
      </c>
    </row>
    <row r="263" spans="1:2" s="1" customFormat="1" x14ac:dyDescent="0.25">
      <c r="A263" s="2" t="s">
        <v>395</v>
      </c>
      <c r="B263" s="4">
        <v>0.84</v>
      </c>
    </row>
    <row r="264" spans="1:2" s="1" customFormat="1" x14ac:dyDescent="0.25">
      <c r="A264" s="2" t="s">
        <v>396</v>
      </c>
      <c r="B264" s="4">
        <v>0.84</v>
      </c>
    </row>
    <row r="265" spans="1:2" s="1" customFormat="1" x14ac:dyDescent="0.25">
      <c r="A265" s="2" t="s">
        <v>397</v>
      </c>
      <c r="B265" s="4">
        <v>0.84</v>
      </c>
    </row>
    <row r="266" spans="1:2" s="1" customFormat="1" x14ac:dyDescent="0.25">
      <c r="A266" s="2" t="s">
        <v>398</v>
      </c>
      <c r="B266" s="4">
        <v>0.84</v>
      </c>
    </row>
    <row r="267" spans="1:2" s="1" customFormat="1" x14ac:dyDescent="0.25">
      <c r="A267" s="2" t="s">
        <v>399</v>
      </c>
      <c r="B267" s="4">
        <v>0.84</v>
      </c>
    </row>
    <row r="268" spans="1:2" s="1" customFormat="1" x14ac:dyDescent="0.25">
      <c r="A268" s="2" t="s">
        <v>400</v>
      </c>
      <c r="B268" s="4">
        <v>0.84</v>
      </c>
    </row>
    <row r="269" spans="1:2" s="1" customFormat="1" x14ac:dyDescent="0.25">
      <c r="A269" s="2" t="s">
        <v>401</v>
      </c>
      <c r="B269" s="4">
        <v>0.84</v>
      </c>
    </row>
    <row r="270" spans="1:2" s="1" customFormat="1" x14ac:dyDescent="0.25">
      <c r="A270" s="2" t="s">
        <v>402</v>
      </c>
      <c r="B270" s="4">
        <v>0.84</v>
      </c>
    </row>
    <row r="271" spans="1:2" s="1" customFormat="1" x14ac:dyDescent="0.25">
      <c r="A271" s="2" t="s">
        <v>403</v>
      </c>
      <c r="B271" s="4">
        <v>0.84</v>
      </c>
    </row>
    <row r="272" spans="1:2" s="1" customFormat="1" x14ac:dyDescent="0.25">
      <c r="A272" s="2" t="s">
        <v>404</v>
      </c>
      <c r="B272" s="4">
        <v>0.84</v>
      </c>
    </row>
    <row r="273" spans="1:2" s="1" customFormat="1" x14ac:dyDescent="0.25">
      <c r="A273" s="2" t="s">
        <v>405</v>
      </c>
      <c r="B273" s="4">
        <v>0.84</v>
      </c>
    </row>
    <row r="274" spans="1:2" s="1" customFormat="1" x14ac:dyDescent="0.25">
      <c r="A274" s="2" t="s">
        <v>114</v>
      </c>
      <c r="B274" s="4">
        <v>0.84</v>
      </c>
    </row>
    <row r="275" spans="1:2" s="1" customFormat="1" x14ac:dyDescent="0.25">
      <c r="A275" s="2" t="s">
        <v>113</v>
      </c>
      <c r="B275" s="4">
        <v>0.84</v>
      </c>
    </row>
    <row r="276" spans="1:2" s="1" customFormat="1" x14ac:dyDescent="0.25">
      <c r="A276" s="2" t="s">
        <v>406</v>
      </c>
      <c r="B276" s="4">
        <v>0.84</v>
      </c>
    </row>
    <row r="277" spans="1:2" s="1" customFormat="1" x14ac:dyDescent="0.25">
      <c r="A277" s="2" t="s">
        <v>407</v>
      </c>
      <c r="B277" s="4">
        <v>0.84</v>
      </c>
    </row>
    <row r="278" spans="1:2" s="1" customFormat="1" x14ac:dyDescent="0.25">
      <c r="A278" s="2" t="s">
        <v>408</v>
      </c>
      <c r="B278" s="4">
        <v>0.84</v>
      </c>
    </row>
    <row r="279" spans="1:2" s="1" customFormat="1" x14ac:dyDescent="0.25">
      <c r="A279" s="2" t="s">
        <v>409</v>
      </c>
      <c r="B279" s="4">
        <v>0.84</v>
      </c>
    </row>
    <row r="280" spans="1:2" s="1" customFormat="1" x14ac:dyDescent="0.25">
      <c r="A280" s="2" t="s">
        <v>410</v>
      </c>
      <c r="B280" s="4">
        <v>0.84</v>
      </c>
    </row>
    <row r="281" spans="1:2" s="1" customFormat="1" x14ac:dyDescent="0.25">
      <c r="A281" s="2" t="s">
        <v>160</v>
      </c>
      <c r="B281" s="4">
        <v>0.84</v>
      </c>
    </row>
    <row r="282" spans="1:2" s="1" customFormat="1" x14ac:dyDescent="0.25">
      <c r="A282" s="2" t="s">
        <v>62</v>
      </c>
      <c r="B282" s="4">
        <v>0.84</v>
      </c>
    </row>
    <row r="283" spans="1:2" s="1" customFormat="1" x14ac:dyDescent="0.25">
      <c r="A283" s="2" t="s">
        <v>411</v>
      </c>
      <c r="B283" s="4">
        <v>0.84</v>
      </c>
    </row>
    <row r="284" spans="1:2" s="1" customFormat="1" x14ac:dyDescent="0.25">
      <c r="A284" s="2" t="s">
        <v>412</v>
      </c>
      <c r="B284" s="4">
        <v>0.84</v>
      </c>
    </row>
    <row r="285" spans="1:2" s="1" customFormat="1" x14ac:dyDescent="0.25">
      <c r="A285" s="2" t="s">
        <v>413</v>
      </c>
      <c r="B285" s="4">
        <v>0.84</v>
      </c>
    </row>
    <row r="286" spans="1:2" s="1" customFormat="1" x14ac:dyDescent="0.25">
      <c r="A286" s="2" t="s">
        <v>414</v>
      </c>
      <c r="B286" s="4">
        <v>0.84</v>
      </c>
    </row>
    <row r="287" spans="1:2" s="1" customFormat="1" x14ac:dyDescent="0.25">
      <c r="A287" s="2" t="s">
        <v>415</v>
      </c>
      <c r="B287" s="4">
        <v>0.84</v>
      </c>
    </row>
    <row r="288" spans="1:2" s="1" customFormat="1" x14ac:dyDescent="0.25">
      <c r="A288" s="2" t="s">
        <v>416</v>
      </c>
      <c r="B288" s="4">
        <v>0.84</v>
      </c>
    </row>
    <row r="289" spans="1:2" s="1" customFormat="1" x14ac:dyDescent="0.25">
      <c r="A289" s="2" t="s">
        <v>112</v>
      </c>
      <c r="B289" s="4">
        <v>0.84</v>
      </c>
    </row>
    <row r="290" spans="1:2" s="1" customFormat="1" x14ac:dyDescent="0.25">
      <c r="A290" s="2" t="s">
        <v>417</v>
      </c>
      <c r="B290" s="4">
        <v>0.84</v>
      </c>
    </row>
    <row r="291" spans="1:2" s="1" customFormat="1" x14ac:dyDescent="0.25">
      <c r="A291" s="2" t="s">
        <v>418</v>
      </c>
      <c r="B291" s="4">
        <v>0.84</v>
      </c>
    </row>
    <row r="292" spans="1:2" s="1" customFormat="1" x14ac:dyDescent="0.25">
      <c r="A292" s="2" t="s">
        <v>419</v>
      </c>
      <c r="B292" s="4">
        <v>0.84</v>
      </c>
    </row>
    <row r="293" spans="1:2" s="1" customFormat="1" x14ac:dyDescent="0.25">
      <c r="A293" s="2" t="s">
        <v>420</v>
      </c>
      <c r="B293" s="4">
        <v>0.84</v>
      </c>
    </row>
    <row r="294" spans="1:2" s="1" customFormat="1" x14ac:dyDescent="0.25">
      <c r="A294" s="2" t="s">
        <v>421</v>
      </c>
      <c r="B294" s="4">
        <v>0.84</v>
      </c>
    </row>
    <row r="295" spans="1:2" s="1" customFormat="1" x14ac:dyDescent="0.25">
      <c r="A295" s="2" t="s">
        <v>422</v>
      </c>
      <c r="B295" s="4">
        <v>0.84</v>
      </c>
    </row>
    <row r="296" spans="1:2" s="1" customFormat="1" x14ac:dyDescent="0.25">
      <c r="A296" s="2" t="s">
        <v>83</v>
      </c>
      <c r="B296" s="4">
        <v>0.84</v>
      </c>
    </row>
    <row r="297" spans="1:2" s="1" customFormat="1" x14ac:dyDescent="0.25">
      <c r="A297" s="2" t="s">
        <v>423</v>
      </c>
      <c r="B297" s="4">
        <v>0.84</v>
      </c>
    </row>
    <row r="298" spans="1:2" s="1" customFormat="1" x14ac:dyDescent="0.25">
      <c r="A298" s="2" t="s">
        <v>424</v>
      </c>
      <c r="B298" s="4">
        <v>0.84</v>
      </c>
    </row>
    <row r="299" spans="1:2" s="1" customFormat="1" x14ac:dyDescent="0.25">
      <c r="A299" s="2" t="s">
        <v>425</v>
      </c>
      <c r="B299" s="4">
        <v>0.84</v>
      </c>
    </row>
    <row r="300" spans="1:2" s="1" customFormat="1" x14ac:dyDescent="0.25">
      <c r="A300" s="2" t="s">
        <v>426</v>
      </c>
      <c r="B300" s="4">
        <v>0.84</v>
      </c>
    </row>
    <row r="301" spans="1:2" s="1" customFormat="1" x14ac:dyDescent="0.25">
      <c r="A301" s="2" t="s">
        <v>427</v>
      </c>
      <c r="B301" s="4">
        <v>0.84</v>
      </c>
    </row>
    <row r="302" spans="1:2" s="1" customFormat="1" x14ac:dyDescent="0.25">
      <c r="A302" s="2" t="s">
        <v>428</v>
      </c>
      <c r="B302" s="4">
        <v>0.84</v>
      </c>
    </row>
    <row r="303" spans="1:2" s="1" customFormat="1" x14ac:dyDescent="0.25">
      <c r="A303" s="2" t="s">
        <v>429</v>
      </c>
      <c r="B303" s="4">
        <v>0.84</v>
      </c>
    </row>
    <row r="304" spans="1:2" s="1" customFormat="1" x14ac:dyDescent="0.25">
      <c r="A304" s="2" t="s">
        <v>430</v>
      </c>
      <c r="B304" s="4">
        <v>0.84</v>
      </c>
    </row>
    <row r="305" spans="1:2" s="1" customFormat="1" x14ac:dyDescent="0.25">
      <c r="A305" s="2" t="s">
        <v>111</v>
      </c>
      <c r="B305" s="4">
        <v>0.84</v>
      </c>
    </row>
    <row r="306" spans="1:2" s="1" customFormat="1" x14ac:dyDescent="0.25">
      <c r="A306" s="2" t="s">
        <v>110</v>
      </c>
      <c r="B306" s="4">
        <v>0.84</v>
      </c>
    </row>
    <row r="307" spans="1:2" s="1" customFormat="1" x14ac:dyDescent="0.25">
      <c r="A307" s="2" t="s">
        <v>431</v>
      </c>
      <c r="B307" s="4">
        <v>0.84</v>
      </c>
    </row>
    <row r="308" spans="1:2" s="1" customFormat="1" x14ac:dyDescent="0.25">
      <c r="A308" s="2" t="s">
        <v>142</v>
      </c>
      <c r="B308" s="4">
        <v>0.84</v>
      </c>
    </row>
    <row r="309" spans="1:2" s="1" customFormat="1" x14ac:dyDescent="0.25">
      <c r="A309" s="2" t="s">
        <v>432</v>
      </c>
      <c r="B309" s="4">
        <v>0.84</v>
      </c>
    </row>
    <row r="310" spans="1:2" s="1" customFormat="1" x14ac:dyDescent="0.25">
      <c r="A310" s="2" t="s">
        <v>433</v>
      </c>
      <c r="B310" s="4">
        <v>0.84</v>
      </c>
    </row>
    <row r="311" spans="1:2" s="1" customFormat="1" x14ac:dyDescent="0.25">
      <c r="A311" s="2" t="s">
        <v>81</v>
      </c>
      <c r="B311" s="4">
        <v>0.84</v>
      </c>
    </row>
    <row r="312" spans="1:2" s="1" customFormat="1" x14ac:dyDescent="0.25">
      <c r="A312" s="2" t="s">
        <v>434</v>
      </c>
      <c r="B312" s="4">
        <v>0.84</v>
      </c>
    </row>
    <row r="313" spans="1:2" s="1" customFormat="1" x14ac:dyDescent="0.25">
      <c r="A313" s="2" t="s">
        <v>435</v>
      </c>
      <c r="B313" s="4">
        <v>0.84</v>
      </c>
    </row>
    <row r="314" spans="1:2" s="1" customFormat="1" x14ac:dyDescent="0.25">
      <c r="A314" s="2" t="s">
        <v>436</v>
      </c>
      <c r="B314" s="4">
        <v>0.84</v>
      </c>
    </row>
    <row r="315" spans="1:2" s="1" customFormat="1" x14ac:dyDescent="0.25">
      <c r="A315" s="2" t="s">
        <v>437</v>
      </c>
      <c r="B315" s="4">
        <v>0.84</v>
      </c>
    </row>
    <row r="316" spans="1:2" s="1" customFormat="1" x14ac:dyDescent="0.25">
      <c r="A316" s="2" t="s">
        <v>438</v>
      </c>
      <c r="B316" s="4">
        <v>0.84</v>
      </c>
    </row>
    <row r="317" spans="1:2" s="1" customFormat="1" x14ac:dyDescent="0.25">
      <c r="A317" s="2" t="s">
        <v>65</v>
      </c>
      <c r="B317" s="4">
        <v>0.84</v>
      </c>
    </row>
    <row r="318" spans="1:2" s="1" customFormat="1" x14ac:dyDescent="0.25">
      <c r="A318" s="2" t="s">
        <v>439</v>
      </c>
      <c r="B318" s="4">
        <v>0.84</v>
      </c>
    </row>
    <row r="319" spans="1:2" s="1" customFormat="1" x14ac:dyDescent="0.25">
      <c r="A319" s="2" t="s">
        <v>440</v>
      </c>
      <c r="B319" s="4">
        <v>0.84</v>
      </c>
    </row>
    <row r="320" spans="1:2" s="1" customFormat="1" x14ac:dyDescent="0.25">
      <c r="A320" s="2" t="s">
        <v>109</v>
      </c>
      <c r="B320" s="4">
        <v>0.84</v>
      </c>
    </row>
    <row r="321" spans="1:2" s="1" customFormat="1" x14ac:dyDescent="0.25">
      <c r="A321" s="2" t="s">
        <v>441</v>
      </c>
      <c r="B321" s="4">
        <v>0.84</v>
      </c>
    </row>
    <row r="322" spans="1:2" s="1" customFormat="1" x14ac:dyDescent="0.25">
      <c r="A322" s="2" t="s">
        <v>442</v>
      </c>
      <c r="B322" s="4">
        <v>0.84</v>
      </c>
    </row>
    <row r="323" spans="1:2" s="1" customFormat="1" x14ac:dyDescent="0.25">
      <c r="A323" s="2" t="s">
        <v>443</v>
      </c>
      <c r="B323" s="4">
        <v>0.84</v>
      </c>
    </row>
    <row r="324" spans="1:2" s="1" customFormat="1" x14ac:dyDescent="0.25">
      <c r="A324" s="2" t="s">
        <v>444</v>
      </c>
      <c r="B324" s="4">
        <v>0.84</v>
      </c>
    </row>
    <row r="325" spans="1:2" s="1" customFormat="1" x14ac:dyDescent="0.25">
      <c r="A325" s="2" t="s">
        <v>445</v>
      </c>
      <c r="B325" s="4">
        <v>0.84</v>
      </c>
    </row>
    <row r="326" spans="1:2" s="1" customFormat="1" x14ac:dyDescent="0.25">
      <c r="A326" s="2" t="s">
        <v>446</v>
      </c>
      <c r="B326" s="4">
        <v>0.84</v>
      </c>
    </row>
    <row r="327" spans="1:2" s="1" customFormat="1" x14ac:dyDescent="0.25">
      <c r="A327" s="2" t="s">
        <v>447</v>
      </c>
      <c r="B327" s="4">
        <v>0.84</v>
      </c>
    </row>
    <row r="328" spans="1:2" s="1" customFormat="1" x14ac:dyDescent="0.25">
      <c r="A328" s="2" t="s">
        <v>448</v>
      </c>
      <c r="B328" s="4">
        <v>0.84</v>
      </c>
    </row>
    <row r="329" spans="1:2" s="1" customFormat="1" x14ac:dyDescent="0.25">
      <c r="A329" s="2" t="s">
        <v>449</v>
      </c>
      <c r="B329" s="4">
        <v>0.84</v>
      </c>
    </row>
    <row r="330" spans="1:2" s="1" customFormat="1" x14ac:dyDescent="0.25">
      <c r="A330" s="2" t="s">
        <v>450</v>
      </c>
      <c r="B330" s="4">
        <v>0.84</v>
      </c>
    </row>
    <row r="331" spans="1:2" s="1" customFormat="1" x14ac:dyDescent="0.25">
      <c r="A331" s="2" t="s">
        <v>451</v>
      </c>
      <c r="B331" s="4">
        <v>0.84</v>
      </c>
    </row>
    <row r="332" spans="1:2" s="1" customFormat="1" x14ac:dyDescent="0.25">
      <c r="A332" s="2" t="s">
        <v>452</v>
      </c>
      <c r="B332" s="4">
        <v>0.84</v>
      </c>
    </row>
    <row r="333" spans="1:2" s="1" customFormat="1" x14ac:dyDescent="0.25">
      <c r="A333" s="2" t="s">
        <v>453</v>
      </c>
      <c r="B333" s="4">
        <v>0.84</v>
      </c>
    </row>
    <row r="334" spans="1:2" s="1" customFormat="1" x14ac:dyDescent="0.25">
      <c r="A334" s="2" t="s">
        <v>454</v>
      </c>
      <c r="B334" s="4">
        <v>0.84</v>
      </c>
    </row>
    <row r="335" spans="1:2" s="1" customFormat="1" x14ac:dyDescent="0.25">
      <c r="A335" s="2" t="s">
        <v>108</v>
      </c>
      <c r="B335" s="4">
        <v>0.84</v>
      </c>
    </row>
    <row r="336" spans="1:2" s="1" customFormat="1" x14ac:dyDescent="0.25">
      <c r="A336" s="2" t="s">
        <v>107</v>
      </c>
      <c r="B336" s="4">
        <v>0.84</v>
      </c>
    </row>
    <row r="337" spans="1:2" s="1" customFormat="1" x14ac:dyDescent="0.25">
      <c r="A337" s="2" t="s">
        <v>455</v>
      </c>
      <c r="B337" s="4">
        <v>0.84</v>
      </c>
    </row>
    <row r="338" spans="1:2" s="1" customFormat="1" x14ac:dyDescent="0.25">
      <c r="A338" s="2" t="s">
        <v>456</v>
      </c>
      <c r="B338" s="4">
        <v>0.84</v>
      </c>
    </row>
    <row r="339" spans="1:2" s="1" customFormat="1" x14ac:dyDescent="0.25">
      <c r="A339" s="2" t="s">
        <v>457</v>
      </c>
      <c r="B339" s="4">
        <v>0.84</v>
      </c>
    </row>
    <row r="340" spans="1:2" s="1" customFormat="1" x14ac:dyDescent="0.25">
      <c r="A340" s="2" t="s">
        <v>163</v>
      </c>
      <c r="B340" s="4">
        <v>0.84</v>
      </c>
    </row>
    <row r="341" spans="1:2" s="1" customFormat="1" x14ac:dyDescent="0.25">
      <c r="A341" s="2" t="s">
        <v>458</v>
      </c>
      <c r="B341" s="4">
        <v>0.84</v>
      </c>
    </row>
    <row r="342" spans="1:2" s="1" customFormat="1" x14ac:dyDescent="0.25">
      <c r="A342" s="2" t="s">
        <v>459</v>
      </c>
      <c r="B342" s="4">
        <v>0.84</v>
      </c>
    </row>
    <row r="343" spans="1:2" s="1" customFormat="1" x14ac:dyDescent="0.25">
      <c r="A343" s="2" t="s">
        <v>460</v>
      </c>
      <c r="B343" s="4">
        <v>0.84</v>
      </c>
    </row>
    <row r="344" spans="1:2" s="1" customFormat="1" x14ac:dyDescent="0.25">
      <c r="A344" s="2" t="s">
        <v>461</v>
      </c>
      <c r="B344" s="4">
        <v>0.84</v>
      </c>
    </row>
    <row r="345" spans="1:2" s="1" customFormat="1" x14ac:dyDescent="0.25">
      <c r="A345" s="2" t="s">
        <v>462</v>
      </c>
      <c r="B345" s="4">
        <v>0.84</v>
      </c>
    </row>
    <row r="346" spans="1:2" s="1" customFormat="1" x14ac:dyDescent="0.25">
      <c r="A346" s="2" t="s">
        <v>463</v>
      </c>
      <c r="B346" s="4">
        <v>0.84</v>
      </c>
    </row>
    <row r="347" spans="1:2" s="1" customFormat="1" x14ac:dyDescent="0.25">
      <c r="A347" s="2" t="s">
        <v>464</v>
      </c>
      <c r="B347" s="4">
        <v>0.84</v>
      </c>
    </row>
    <row r="348" spans="1:2" s="1" customFormat="1" x14ac:dyDescent="0.25">
      <c r="A348" s="2" t="s">
        <v>465</v>
      </c>
      <c r="B348" s="4">
        <v>0.84</v>
      </c>
    </row>
    <row r="349" spans="1:2" s="1" customFormat="1" x14ac:dyDescent="0.25">
      <c r="A349" s="2" t="s">
        <v>466</v>
      </c>
      <c r="B349" s="4">
        <v>0.84</v>
      </c>
    </row>
    <row r="350" spans="1:2" s="1" customFormat="1" x14ac:dyDescent="0.25">
      <c r="A350" s="2" t="s">
        <v>78</v>
      </c>
      <c r="B350" s="4">
        <v>0.84</v>
      </c>
    </row>
    <row r="351" spans="1:2" s="1" customFormat="1" x14ac:dyDescent="0.25">
      <c r="A351" s="2" t="s">
        <v>467</v>
      </c>
      <c r="B351" s="4">
        <v>0.84</v>
      </c>
    </row>
    <row r="352" spans="1:2" s="1" customFormat="1" x14ac:dyDescent="0.25">
      <c r="A352" s="2" t="s">
        <v>468</v>
      </c>
      <c r="B352" s="4">
        <v>0.84</v>
      </c>
    </row>
    <row r="353" spans="1:2" s="1" customFormat="1" x14ac:dyDescent="0.25">
      <c r="A353" s="2" t="s">
        <v>469</v>
      </c>
      <c r="B353" s="4">
        <v>0.84</v>
      </c>
    </row>
    <row r="354" spans="1:2" s="1" customFormat="1" x14ac:dyDescent="0.25">
      <c r="A354" s="2" t="s">
        <v>470</v>
      </c>
      <c r="B354" s="4">
        <v>0.84</v>
      </c>
    </row>
    <row r="355" spans="1:2" s="1" customFormat="1" x14ac:dyDescent="0.25">
      <c r="A355" s="2" t="s">
        <v>471</v>
      </c>
      <c r="B355" s="4">
        <v>0.84</v>
      </c>
    </row>
    <row r="356" spans="1:2" s="1" customFormat="1" x14ac:dyDescent="0.25">
      <c r="A356" s="2" t="s">
        <v>472</v>
      </c>
      <c r="B356" s="4">
        <v>0.84</v>
      </c>
    </row>
    <row r="357" spans="1:2" s="1" customFormat="1" x14ac:dyDescent="0.25">
      <c r="A357" s="2" t="s">
        <v>473</v>
      </c>
      <c r="B357" s="4">
        <v>0.84</v>
      </c>
    </row>
    <row r="358" spans="1:2" s="1" customFormat="1" x14ac:dyDescent="0.25">
      <c r="A358" s="2" t="s">
        <v>474</v>
      </c>
      <c r="B358" s="4">
        <v>0.84</v>
      </c>
    </row>
    <row r="359" spans="1:2" s="1" customFormat="1" x14ac:dyDescent="0.25">
      <c r="A359" s="2" t="s">
        <v>475</v>
      </c>
      <c r="B359" s="4">
        <v>0.84</v>
      </c>
    </row>
    <row r="360" spans="1:2" s="1" customFormat="1" x14ac:dyDescent="0.25">
      <c r="A360" s="2" t="s">
        <v>476</v>
      </c>
      <c r="B360" s="4">
        <v>0.84</v>
      </c>
    </row>
    <row r="361" spans="1:2" s="1" customFormat="1" x14ac:dyDescent="0.25">
      <c r="A361" s="2" t="s">
        <v>477</v>
      </c>
      <c r="B361" s="4">
        <v>0.84</v>
      </c>
    </row>
    <row r="362" spans="1:2" s="1" customFormat="1" x14ac:dyDescent="0.25">
      <c r="A362" s="2" t="s">
        <v>478</v>
      </c>
      <c r="B362" s="4">
        <v>0.84</v>
      </c>
    </row>
    <row r="363" spans="1:2" s="1" customFormat="1" x14ac:dyDescent="0.25">
      <c r="A363" s="2" t="s">
        <v>106</v>
      </c>
      <c r="B363" s="4">
        <v>0.84</v>
      </c>
    </row>
    <row r="364" spans="1:2" s="1" customFormat="1" x14ac:dyDescent="0.25">
      <c r="A364" s="2" t="s">
        <v>105</v>
      </c>
      <c r="B364" s="4">
        <v>0.84</v>
      </c>
    </row>
    <row r="365" spans="1:2" s="1" customFormat="1" x14ac:dyDescent="0.25">
      <c r="A365" s="2" t="s">
        <v>104</v>
      </c>
      <c r="B365" s="4">
        <v>0.84</v>
      </c>
    </row>
    <row r="366" spans="1:2" s="1" customFormat="1" x14ac:dyDescent="0.25">
      <c r="A366" s="2" t="s">
        <v>101</v>
      </c>
      <c r="B366" s="4">
        <v>0.83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6"/>
  <sheetFormatPr defaultRowHeight="15" outlineLevelRow="0" outlineLevelCol="0" x14ac:dyDescent="55"/>
  <cols>
    <col min="1" max="2" width="12" customWidth="1"/>
  </cols>
  <sheetData>
    <row r="1" spans="1:2" x14ac:dyDescent="0.25">
      <c r="A1" s="1" t="s">
        <v>66</v>
      </c>
      <c r="B1" s="1" t="s">
        <v>91</v>
      </c>
    </row>
    <row r="2" spans="1:2" s="1" customFormat="1" x14ac:dyDescent="0.25">
      <c r="A2" s="2" t="s">
        <v>133</v>
      </c>
      <c r="B2" s="4">
        <v>8.41</v>
      </c>
    </row>
    <row r="3" spans="1:2" s="1" customFormat="1" x14ac:dyDescent="0.25">
      <c r="A3" s="2" t="s">
        <v>136</v>
      </c>
      <c r="B3" s="4">
        <v>8.41</v>
      </c>
    </row>
    <row r="4" spans="1:2" s="1" customFormat="1" x14ac:dyDescent="0.25">
      <c r="A4" s="2" t="s">
        <v>193</v>
      </c>
      <c r="B4" s="4">
        <v>8.41</v>
      </c>
    </row>
    <row r="5" spans="1:2" s="1" customFormat="1" x14ac:dyDescent="0.25">
      <c r="A5" s="2" t="s">
        <v>194</v>
      </c>
      <c r="B5" s="4">
        <v>8.41</v>
      </c>
    </row>
    <row r="6" spans="1:2" s="1" customFormat="1" x14ac:dyDescent="0.25">
      <c r="A6" s="2" t="s">
        <v>195</v>
      </c>
      <c r="B6" s="4">
        <v>8.41</v>
      </c>
    </row>
    <row r="7" spans="1:2" s="1" customFormat="1" x14ac:dyDescent="0.25">
      <c r="A7" s="2" t="s">
        <v>143</v>
      </c>
      <c r="B7" s="4">
        <v>8.41</v>
      </c>
    </row>
    <row r="8" spans="1:2" s="1" customFormat="1" x14ac:dyDescent="0.25">
      <c r="A8" s="2" t="s">
        <v>196</v>
      </c>
      <c r="B8" s="4">
        <v>8.41</v>
      </c>
    </row>
    <row r="9" spans="1:2" s="1" customFormat="1" x14ac:dyDescent="0.25">
      <c r="A9" s="2" t="s">
        <v>197</v>
      </c>
      <c r="B9" s="4">
        <v>8.41</v>
      </c>
    </row>
    <row r="10" spans="1:2" s="1" customFormat="1" x14ac:dyDescent="0.25">
      <c r="A10" s="2" t="s">
        <v>198</v>
      </c>
      <c r="B10" s="4">
        <v>8.41</v>
      </c>
    </row>
    <row r="11" spans="1:2" s="1" customFormat="1" x14ac:dyDescent="0.25">
      <c r="A11" s="2" t="s">
        <v>199</v>
      </c>
      <c r="B11" s="4">
        <v>8.41</v>
      </c>
    </row>
    <row r="12" spans="1:2" s="1" customFormat="1" x14ac:dyDescent="0.25">
      <c r="A12" s="2" t="s">
        <v>200</v>
      </c>
      <c r="B12" s="4">
        <v>8.41</v>
      </c>
    </row>
    <row r="13" spans="1:2" s="1" customFormat="1" x14ac:dyDescent="0.25">
      <c r="A13" s="2" t="s">
        <v>201</v>
      </c>
      <c r="B13" s="4">
        <v>8.41</v>
      </c>
    </row>
    <row r="14" spans="1:2" s="1" customFormat="1" x14ac:dyDescent="0.25">
      <c r="A14" s="2" t="s">
        <v>202</v>
      </c>
      <c r="B14" s="4">
        <v>8.41</v>
      </c>
    </row>
    <row r="15" spans="1:2" s="1" customFormat="1" x14ac:dyDescent="0.25">
      <c r="A15" s="2" t="s">
        <v>40</v>
      </c>
      <c r="B15" s="4">
        <v>8.41</v>
      </c>
    </row>
    <row r="16" spans="1:2" s="1" customFormat="1" x14ac:dyDescent="0.25">
      <c r="A16" s="2" t="s">
        <v>47</v>
      </c>
      <c r="B16" s="4">
        <v>8.41</v>
      </c>
    </row>
    <row r="17" spans="1:2" s="1" customFormat="1" x14ac:dyDescent="0.25">
      <c r="A17" s="2" t="s">
        <v>203</v>
      </c>
      <c r="B17" s="4">
        <v>8.41</v>
      </c>
    </row>
    <row r="18" spans="1:2" s="1" customFormat="1" x14ac:dyDescent="0.25">
      <c r="A18" s="2" t="s">
        <v>204</v>
      </c>
      <c r="B18" s="4">
        <v>8.41</v>
      </c>
    </row>
    <row r="19" spans="1:2" s="1" customFormat="1" x14ac:dyDescent="0.25">
      <c r="A19" s="2" t="s">
        <v>205</v>
      </c>
      <c r="B19" s="4">
        <v>8.41</v>
      </c>
    </row>
    <row r="20" spans="1:2" s="1" customFormat="1" x14ac:dyDescent="0.25">
      <c r="A20" s="2" t="s">
        <v>206</v>
      </c>
      <c r="B20" s="4">
        <v>8.41</v>
      </c>
    </row>
    <row r="21" spans="1:2" s="1" customFormat="1" x14ac:dyDescent="0.25">
      <c r="A21" s="2" t="s">
        <v>207</v>
      </c>
      <c r="B21" s="4">
        <v>8.41</v>
      </c>
    </row>
    <row r="22" spans="1:2" s="1" customFormat="1" x14ac:dyDescent="0.25">
      <c r="A22" s="2" t="s">
        <v>208</v>
      </c>
      <c r="B22" s="4">
        <v>8.41</v>
      </c>
    </row>
    <row r="23" spans="1:2" s="1" customFormat="1" x14ac:dyDescent="0.25">
      <c r="A23" s="2" t="s">
        <v>209</v>
      </c>
      <c r="B23" s="4">
        <v>8.41</v>
      </c>
    </row>
    <row r="24" spans="1:2" s="1" customFormat="1" x14ac:dyDescent="0.25">
      <c r="A24" s="2" t="s">
        <v>210</v>
      </c>
      <c r="B24" s="4">
        <v>8.41</v>
      </c>
    </row>
    <row r="25" spans="1:2" s="1" customFormat="1" x14ac:dyDescent="0.25">
      <c r="A25" s="2" t="s">
        <v>211</v>
      </c>
      <c r="B25" s="4">
        <v>8.41</v>
      </c>
    </row>
    <row r="26" spans="1:2" s="1" customFormat="1" x14ac:dyDescent="0.25">
      <c r="A26" s="2" t="s">
        <v>212</v>
      </c>
      <c r="B26" s="4">
        <v>8.41</v>
      </c>
    </row>
    <row r="27" spans="1:2" s="1" customFormat="1" x14ac:dyDescent="0.25">
      <c r="A27" s="2" t="s">
        <v>213</v>
      </c>
      <c r="B27" s="4">
        <v>8.41</v>
      </c>
    </row>
    <row r="28" spans="1:2" s="1" customFormat="1" x14ac:dyDescent="0.25">
      <c r="A28" s="2" t="s">
        <v>214</v>
      </c>
      <c r="B28" s="4">
        <v>8.41</v>
      </c>
    </row>
    <row r="29" spans="1:2" s="1" customFormat="1" x14ac:dyDescent="0.25">
      <c r="A29" s="2" t="s">
        <v>215</v>
      </c>
      <c r="B29" s="4">
        <v>8.41</v>
      </c>
    </row>
    <row r="30" spans="1:2" s="1" customFormat="1" x14ac:dyDescent="0.25">
      <c r="A30" s="2" t="s">
        <v>216</v>
      </c>
      <c r="B30" s="4">
        <v>8.41</v>
      </c>
    </row>
    <row r="31" spans="1:2" s="1" customFormat="1" x14ac:dyDescent="0.25">
      <c r="A31" s="2" t="s">
        <v>217</v>
      </c>
      <c r="B31" s="4">
        <v>8.41</v>
      </c>
    </row>
    <row r="32" spans="1:2" s="1" customFormat="1" x14ac:dyDescent="0.25">
      <c r="A32" s="2" t="s">
        <v>132</v>
      </c>
      <c r="B32" s="4">
        <v>8.41</v>
      </c>
    </row>
    <row r="33" spans="1:2" s="1" customFormat="1" x14ac:dyDescent="0.25">
      <c r="A33" s="2" t="s">
        <v>131</v>
      </c>
      <c r="B33" s="4">
        <v>8.41</v>
      </c>
    </row>
    <row r="34" spans="1:2" s="1" customFormat="1" x14ac:dyDescent="0.25">
      <c r="A34" s="2" t="s">
        <v>218</v>
      </c>
      <c r="B34" s="4">
        <v>8.41</v>
      </c>
    </row>
    <row r="35" spans="1:2" s="1" customFormat="1" x14ac:dyDescent="0.25">
      <c r="A35" s="2" t="s">
        <v>138</v>
      </c>
      <c r="B35" s="4">
        <v>8.41</v>
      </c>
    </row>
    <row r="36" spans="1:2" s="1" customFormat="1" x14ac:dyDescent="0.25">
      <c r="A36" s="2" t="s">
        <v>219</v>
      </c>
      <c r="B36" s="4">
        <v>8.41</v>
      </c>
    </row>
    <row r="37" spans="1:2" s="1" customFormat="1" x14ac:dyDescent="0.25">
      <c r="A37" s="2" t="s">
        <v>39</v>
      </c>
      <c r="B37" s="4">
        <v>8.41</v>
      </c>
    </row>
    <row r="38" spans="1:2" s="1" customFormat="1" x14ac:dyDescent="0.25">
      <c r="A38" s="2" t="s">
        <v>220</v>
      </c>
      <c r="B38" s="4">
        <v>8.41</v>
      </c>
    </row>
    <row r="39" spans="1:2" s="1" customFormat="1" x14ac:dyDescent="0.25">
      <c r="A39" s="2" t="s">
        <v>221</v>
      </c>
      <c r="B39" s="4">
        <v>8.41</v>
      </c>
    </row>
    <row r="40" spans="1:2" s="1" customFormat="1" x14ac:dyDescent="0.25">
      <c r="A40" s="2" t="s">
        <v>222</v>
      </c>
      <c r="B40" s="4">
        <v>8.41</v>
      </c>
    </row>
    <row r="41" spans="1:2" s="1" customFormat="1" x14ac:dyDescent="0.25">
      <c r="A41" s="2" t="s">
        <v>223</v>
      </c>
      <c r="B41" s="4">
        <v>8.41</v>
      </c>
    </row>
    <row r="42" spans="1:2" s="1" customFormat="1" x14ac:dyDescent="0.25">
      <c r="A42" s="2" t="s">
        <v>96</v>
      </c>
      <c r="B42" s="4">
        <v>8.41</v>
      </c>
    </row>
    <row r="43" spans="1:2" s="1" customFormat="1" x14ac:dyDescent="0.25">
      <c r="A43" s="2" t="s">
        <v>97</v>
      </c>
      <c r="B43" s="4">
        <v>8.41</v>
      </c>
    </row>
    <row r="44" spans="1:2" s="1" customFormat="1" x14ac:dyDescent="0.25">
      <c r="A44" s="2" t="s">
        <v>224</v>
      </c>
      <c r="B44" s="4">
        <v>8.41</v>
      </c>
    </row>
    <row r="45" spans="1:2" s="1" customFormat="1" x14ac:dyDescent="0.25">
      <c r="A45" s="2" t="s">
        <v>225</v>
      </c>
      <c r="B45" s="4">
        <v>8.41</v>
      </c>
    </row>
    <row r="46" spans="1:2" s="1" customFormat="1" x14ac:dyDescent="0.25">
      <c r="A46" s="2" t="s">
        <v>226</v>
      </c>
      <c r="B46" s="4">
        <v>8.41</v>
      </c>
    </row>
    <row r="47" spans="1:2" s="1" customFormat="1" x14ac:dyDescent="0.25">
      <c r="A47" s="2" t="s">
        <v>130</v>
      </c>
      <c r="B47" s="4">
        <v>8.41</v>
      </c>
    </row>
    <row r="48" spans="1:2" s="1" customFormat="1" x14ac:dyDescent="0.25">
      <c r="A48" s="2" t="s">
        <v>227</v>
      </c>
      <c r="B48" s="4">
        <v>8.41</v>
      </c>
    </row>
    <row r="49" spans="1:2" s="1" customFormat="1" x14ac:dyDescent="0.25">
      <c r="A49" s="2" t="s">
        <v>228</v>
      </c>
      <c r="B49" s="4">
        <v>8.41</v>
      </c>
    </row>
    <row r="50" spans="1:2" s="1" customFormat="1" x14ac:dyDescent="0.25">
      <c r="A50" s="2" t="s">
        <v>229</v>
      </c>
      <c r="B50" s="4">
        <v>8.41</v>
      </c>
    </row>
    <row r="51" spans="1:2" s="1" customFormat="1" x14ac:dyDescent="0.25">
      <c r="A51" s="2" t="s">
        <v>230</v>
      </c>
      <c r="B51" s="4">
        <v>8.41</v>
      </c>
    </row>
    <row r="52" spans="1:2" s="1" customFormat="1" x14ac:dyDescent="0.25">
      <c r="A52" s="2" t="s">
        <v>231</v>
      </c>
      <c r="B52" s="4">
        <v>8.41</v>
      </c>
    </row>
    <row r="53" spans="1:2" s="1" customFormat="1" x14ac:dyDescent="0.25">
      <c r="A53" s="2" t="s">
        <v>232</v>
      </c>
      <c r="B53" s="4">
        <v>8.41</v>
      </c>
    </row>
    <row r="54" spans="1:2" s="1" customFormat="1" x14ac:dyDescent="0.25">
      <c r="A54" s="2" t="s">
        <v>233</v>
      </c>
      <c r="B54" s="4">
        <v>8.41</v>
      </c>
    </row>
    <row r="55" spans="1:2" s="1" customFormat="1" x14ac:dyDescent="0.25">
      <c r="A55" s="2" t="s">
        <v>234</v>
      </c>
      <c r="B55" s="4">
        <v>8.41</v>
      </c>
    </row>
    <row r="56" spans="1:2" s="1" customFormat="1" x14ac:dyDescent="0.25">
      <c r="A56" s="2" t="s">
        <v>235</v>
      </c>
      <c r="B56" s="4">
        <v>8.41</v>
      </c>
    </row>
    <row r="57" spans="1:2" s="1" customFormat="1" x14ac:dyDescent="0.25">
      <c r="A57" s="2" t="s">
        <v>236</v>
      </c>
      <c r="B57" s="4">
        <v>8.41</v>
      </c>
    </row>
    <row r="58" spans="1:2" s="1" customFormat="1" x14ac:dyDescent="0.25">
      <c r="A58" s="2" t="s">
        <v>237</v>
      </c>
      <c r="B58" s="4">
        <v>8.41</v>
      </c>
    </row>
    <row r="59" spans="1:2" s="1" customFormat="1" x14ac:dyDescent="0.25">
      <c r="A59" s="2" t="s">
        <v>238</v>
      </c>
      <c r="B59" s="4">
        <v>8.41</v>
      </c>
    </row>
    <row r="60" spans="1:2" s="1" customFormat="1" x14ac:dyDescent="0.25">
      <c r="A60" s="2" t="s">
        <v>129</v>
      </c>
      <c r="B60" s="4">
        <v>8.41</v>
      </c>
    </row>
    <row r="61" spans="1:2" s="1" customFormat="1" x14ac:dyDescent="0.25">
      <c r="A61" s="2" t="s">
        <v>128</v>
      </c>
      <c r="B61" s="4">
        <v>8.41</v>
      </c>
    </row>
    <row r="62" spans="1:2" s="1" customFormat="1" x14ac:dyDescent="0.25">
      <c r="A62" s="2" t="s">
        <v>239</v>
      </c>
      <c r="B62" s="4">
        <v>8.41</v>
      </c>
    </row>
    <row r="63" spans="1:2" s="1" customFormat="1" x14ac:dyDescent="0.25">
      <c r="A63" s="2" t="s">
        <v>139</v>
      </c>
      <c r="B63" s="4">
        <v>8.41</v>
      </c>
    </row>
    <row r="64" spans="1:2" s="1" customFormat="1" x14ac:dyDescent="0.25">
      <c r="A64" s="2" t="s">
        <v>240</v>
      </c>
      <c r="B64" s="4">
        <v>8.41</v>
      </c>
    </row>
    <row r="65" spans="1:2" s="1" customFormat="1" x14ac:dyDescent="0.25">
      <c r="A65" s="2" t="s">
        <v>241</v>
      </c>
      <c r="B65" s="4">
        <v>8.41</v>
      </c>
    </row>
    <row r="66" spans="1:2" s="1" customFormat="1" x14ac:dyDescent="0.25">
      <c r="A66" s="2" t="s">
        <v>146</v>
      </c>
      <c r="B66" s="4">
        <v>8.41</v>
      </c>
    </row>
    <row r="67" spans="1:2" s="1" customFormat="1" x14ac:dyDescent="0.25">
      <c r="A67" s="2" t="s">
        <v>242</v>
      </c>
      <c r="B67" s="4">
        <v>8.41</v>
      </c>
    </row>
    <row r="68" spans="1:2" s="1" customFormat="1" x14ac:dyDescent="0.25">
      <c r="A68" s="2" t="s">
        <v>243</v>
      </c>
      <c r="B68" s="4">
        <v>8.41</v>
      </c>
    </row>
    <row r="69" spans="1:2" s="1" customFormat="1" x14ac:dyDescent="0.25">
      <c r="A69" s="2" t="s">
        <v>244</v>
      </c>
      <c r="B69" s="4">
        <v>8.41</v>
      </c>
    </row>
    <row r="70" spans="1:2" s="1" customFormat="1" x14ac:dyDescent="0.25">
      <c r="A70" s="2" t="s">
        <v>245</v>
      </c>
      <c r="B70" s="4">
        <v>8.41</v>
      </c>
    </row>
    <row r="71" spans="1:2" s="1" customFormat="1" x14ac:dyDescent="0.25">
      <c r="A71" s="2" t="s">
        <v>246</v>
      </c>
      <c r="B71" s="4">
        <v>8.41</v>
      </c>
    </row>
    <row r="72" spans="1:2" s="1" customFormat="1" x14ac:dyDescent="0.25">
      <c r="A72" s="2" t="s">
        <v>247</v>
      </c>
      <c r="B72" s="4">
        <v>8.41</v>
      </c>
    </row>
    <row r="73" spans="1:2" s="1" customFormat="1" x14ac:dyDescent="0.25">
      <c r="A73" s="2" t="s">
        <v>248</v>
      </c>
      <c r="B73" s="4">
        <v>8.41</v>
      </c>
    </row>
    <row r="74" spans="1:2" s="1" customFormat="1" x14ac:dyDescent="0.25">
      <c r="A74" s="2" t="s">
        <v>84</v>
      </c>
      <c r="B74" s="4">
        <v>8.41</v>
      </c>
    </row>
    <row r="75" spans="1:2" s="1" customFormat="1" x14ac:dyDescent="0.25">
      <c r="A75" s="2" t="s">
        <v>75</v>
      </c>
      <c r="B75" s="4">
        <v>8.41</v>
      </c>
    </row>
    <row r="76" spans="1:2" s="1" customFormat="1" x14ac:dyDescent="0.25">
      <c r="A76" s="2" t="s">
        <v>93</v>
      </c>
      <c r="B76" s="4">
        <v>8.41</v>
      </c>
    </row>
    <row r="77" spans="1:2" s="1" customFormat="1" x14ac:dyDescent="0.25">
      <c r="A77" s="2" t="s">
        <v>94</v>
      </c>
      <c r="B77" s="4">
        <v>8.41</v>
      </c>
    </row>
    <row r="78" spans="1:2" s="1" customFormat="1" x14ac:dyDescent="0.25">
      <c r="A78" s="2" t="s">
        <v>249</v>
      </c>
      <c r="B78" s="4">
        <v>8.41</v>
      </c>
    </row>
    <row r="79" spans="1:2" s="1" customFormat="1" x14ac:dyDescent="0.25">
      <c r="A79" s="2" t="s">
        <v>250</v>
      </c>
      <c r="B79" s="4">
        <v>8.41</v>
      </c>
    </row>
    <row r="80" spans="1:2" s="1" customFormat="1" x14ac:dyDescent="0.25">
      <c r="A80" s="2" t="s">
        <v>251</v>
      </c>
      <c r="B80" s="4">
        <v>8.41</v>
      </c>
    </row>
    <row r="81" spans="1:2" s="1" customFormat="1" x14ac:dyDescent="0.25">
      <c r="A81" s="2" t="s">
        <v>252</v>
      </c>
      <c r="B81" s="4">
        <v>8.41</v>
      </c>
    </row>
    <row r="82" spans="1:2" s="1" customFormat="1" x14ac:dyDescent="0.25">
      <c r="A82" s="2" t="s">
        <v>253</v>
      </c>
      <c r="B82" s="4">
        <v>8.41</v>
      </c>
    </row>
    <row r="83" spans="1:2" s="1" customFormat="1" x14ac:dyDescent="0.25">
      <c r="A83" s="2" t="s">
        <v>254</v>
      </c>
      <c r="B83" s="4">
        <v>8.41</v>
      </c>
    </row>
    <row r="84" spans="1:2" s="1" customFormat="1" x14ac:dyDescent="0.25">
      <c r="A84" s="2" t="s">
        <v>255</v>
      </c>
      <c r="B84" s="4">
        <v>8.41</v>
      </c>
    </row>
    <row r="85" spans="1:2" s="1" customFormat="1" x14ac:dyDescent="0.25">
      <c r="A85" s="2" t="s">
        <v>256</v>
      </c>
      <c r="B85" s="4">
        <v>8.41</v>
      </c>
    </row>
    <row r="86" spans="1:2" s="1" customFormat="1" x14ac:dyDescent="0.25">
      <c r="A86" s="2" t="s">
        <v>257</v>
      </c>
      <c r="B86" s="4">
        <v>8.41</v>
      </c>
    </row>
    <row r="87" spans="1:2" s="1" customFormat="1" x14ac:dyDescent="0.25">
      <c r="A87" s="2" t="s">
        <v>258</v>
      </c>
      <c r="B87" s="4">
        <v>8.41</v>
      </c>
    </row>
    <row r="88" spans="1:2" s="1" customFormat="1" x14ac:dyDescent="0.25">
      <c r="A88" s="2" t="s">
        <v>259</v>
      </c>
      <c r="B88" s="4">
        <v>8.41</v>
      </c>
    </row>
    <row r="89" spans="1:2" s="1" customFormat="1" x14ac:dyDescent="0.25">
      <c r="A89" s="2" t="s">
        <v>260</v>
      </c>
      <c r="B89" s="4">
        <v>8.41</v>
      </c>
    </row>
    <row r="90" spans="1:2" s="1" customFormat="1" x14ac:dyDescent="0.25">
      <c r="A90" s="2" t="s">
        <v>261</v>
      </c>
      <c r="B90" s="4">
        <v>8.41</v>
      </c>
    </row>
    <row r="91" spans="1:2" s="1" customFormat="1" x14ac:dyDescent="0.25">
      <c r="A91" s="2" t="s">
        <v>127</v>
      </c>
      <c r="B91" s="4">
        <v>8.41</v>
      </c>
    </row>
    <row r="92" spans="1:2" s="1" customFormat="1" x14ac:dyDescent="0.25">
      <c r="A92" s="2" t="s">
        <v>126</v>
      </c>
      <c r="B92" s="4">
        <v>8.41</v>
      </c>
    </row>
    <row r="93" spans="1:2" s="1" customFormat="1" x14ac:dyDescent="0.25">
      <c r="A93" s="2" t="s">
        <v>262</v>
      </c>
      <c r="B93" s="4">
        <v>8.41</v>
      </c>
    </row>
    <row r="94" spans="1:2" s="1" customFormat="1" x14ac:dyDescent="0.25">
      <c r="A94" s="2" t="s">
        <v>49</v>
      </c>
      <c r="B94" s="4">
        <v>8.41</v>
      </c>
    </row>
    <row r="95" spans="1:2" s="1" customFormat="1" x14ac:dyDescent="0.25">
      <c r="A95" s="2" t="s">
        <v>148</v>
      </c>
      <c r="B95" s="4">
        <v>8.41</v>
      </c>
    </row>
    <row r="96" spans="1:2" s="1" customFormat="1" x14ac:dyDescent="0.25">
      <c r="A96" s="2" t="s">
        <v>263</v>
      </c>
      <c r="B96" s="4">
        <v>8.41</v>
      </c>
    </row>
    <row r="97" spans="1:2" s="1" customFormat="1" x14ac:dyDescent="0.25">
      <c r="A97" s="2" t="s">
        <v>264</v>
      </c>
      <c r="B97" s="4">
        <v>8.41</v>
      </c>
    </row>
    <row r="98" spans="1:2" s="1" customFormat="1" x14ac:dyDescent="0.25">
      <c r="A98" s="2" t="s">
        <v>265</v>
      </c>
      <c r="B98" s="4">
        <v>8.41</v>
      </c>
    </row>
    <row r="99" spans="1:2" s="1" customFormat="1" x14ac:dyDescent="0.25">
      <c r="A99" s="2" t="s">
        <v>266</v>
      </c>
      <c r="B99" s="4">
        <v>8.41</v>
      </c>
    </row>
    <row r="100" spans="1:2" s="1" customFormat="1" x14ac:dyDescent="0.25">
      <c r="A100" s="2" t="s">
        <v>267</v>
      </c>
      <c r="B100" s="4">
        <v>8.41</v>
      </c>
    </row>
    <row r="101" spans="1:2" s="1" customFormat="1" x14ac:dyDescent="0.25">
      <c r="A101" s="2" t="s">
        <v>268</v>
      </c>
      <c r="B101" s="4">
        <v>8.41</v>
      </c>
    </row>
    <row r="102" spans="1:2" s="1" customFormat="1" x14ac:dyDescent="0.25">
      <c r="A102" s="2" t="s">
        <v>269</v>
      </c>
      <c r="B102" s="4">
        <v>8.41</v>
      </c>
    </row>
    <row r="103" spans="1:2" s="1" customFormat="1" x14ac:dyDescent="0.25">
      <c r="A103" s="2" t="s">
        <v>270</v>
      </c>
      <c r="B103" s="4">
        <v>8.41</v>
      </c>
    </row>
    <row r="104" spans="1:2" s="1" customFormat="1" x14ac:dyDescent="0.25">
      <c r="A104" s="2" t="s">
        <v>271</v>
      </c>
      <c r="B104" s="4">
        <v>8.41</v>
      </c>
    </row>
    <row r="105" spans="1:2" s="1" customFormat="1" x14ac:dyDescent="0.25">
      <c r="A105" s="2" t="s">
        <v>272</v>
      </c>
      <c r="B105" s="4">
        <v>8.41</v>
      </c>
    </row>
    <row r="106" spans="1:2" s="1" customFormat="1" x14ac:dyDescent="0.25">
      <c r="A106" s="2" t="s">
        <v>125</v>
      </c>
      <c r="B106" s="4">
        <v>8.41</v>
      </c>
    </row>
    <row r="107" spans="1:2" s="1" customFormat="1" x14ac:dyDescent="0.25">
      <c r="A107" s="2" t="s">
        <v>273</v>
      </c>
      <c r="B107" s="4">
        <v>8.41</v>
      </c>
    </row>
    <row r="108" spans="1:2" s="1" customFormat="1" x14ac:dyDescent="0.25">
      <c r="A108" s="2" t="s">
        <v>87</v>
      </c>
      <c r="B108" s="4">
        <v>8.41</v>
      </c>
    </row>
    <row r="109" spans="1:2" s="1" customFormat="1" x14ac:dyDescent="0.25">
      <c r="A109" s="2" t="s">
        <v>274</v>
      </c>
      <c r="B109" s="4">
        <v>8.41</v>
      </c>
    </row>
    <row r="110" spans="1:2" s="1" customFormat="1" x14ac:dyDescent="0.25">
      <c r="A110" s="2" t="s">
        <v>275</v>
      </c>
      <c r="B110" s="4">
        <v>8.41</v>
      </c>
    </row>
    <row r="111" spans="1:2" s="1" customFormat="1" x14ac:dyDescent="0.25">
      <c r="A111" s="2" t="s">
        <v>276</v>
      </c>
      <c r="B111" s="4">
        <v>8.41</v>
      </c>
    </row>
    <row r="112" spans="1:2" s="1" customFormat="1" x14ac:dyDescent="0.25">
      <c r="A112" s="2" t="s">
        <v>277</v>
      </c>
      <c r="B112" s="4">
        <v>8.41</v>
      </c>
    </row>
    <row r="113" spans="1:2" s="1" customFormat="1" x14ac:dyDescent="0.25">
      <c r="A113" s="2" t="s">
        <v>278</v>
      </c>
      <c r="B113" s="4">
        <v>8.41</v>
      </c>
    </row>
    <row r="114" spans="1:2" s="1" customFormat="1" x14ac:dyDescent="0.25">
      <c r="A114" s="2" t="s">
        <v>82</v>
      </c>
      <c r="B114" s="4">
        <v>8.41</v>
      </c>
    </row>
    <row r="115" spans="1:2" s="1" customFormat="1" x14ac:dyDescent="0.25">
      <c r="A115" s="2" t="s">
        <v>279</v>
      </c>
      <c r="B115" s="4">
        <v>8.41</v>
      </c>
    </row>
    <row r="116" spans="1:2" s="1" customFormat="1" x14ac:dyDescent="0.25">
      <c r="A116" s="2" t="s">
        <v>280</v>
      </c>
      <c r="B116" s="4">
        <v>8.41</v>
      </c>
    </row>
    <row r="117" spans="1:2" s="1" customFormat="1" x14ac:dyDescent="0.25">
      <c r="A117" s="2" t="s">
        <v>281</v>
      </c>
      <c r="B117" s="4">
        <v>8.41</v>
      </c>
    </row>
    <row r="118" spans="1:2" s="1" customFormat="1" x14ac:dyDescent="0.25">
      <c r="A118" s="2" t="s">
        <v>282</v>
      </c>
      <c r="B118" s="4">
        <v>8.41</v>
      </c>
    </row>
    <row r="119" spans="1:2" s="1" customFormat="1" x14ac:dyDescent="0.25">
      <c r="A119" s="2" t="s">
        <v>283</v>
      </c>
      <c r="B119" s="4">
        <v>8.41</v>
      </c>
    </row>
    <row r="120" spans="1:2" s="1" customFormat="1" x14ac:dyDescent="0.25">
      <c r="A120" s="2" t="s">
        <v>284</v>
      </c>
      <c r="B120" s="4">
        <v>8.41</v>
      </c>
    </row>
    <row r="121" spans="1:2" s="1" customFormat="1" x14ac:dyDescent="0.25">
      <c r="A121" s="2" t="s">
        <v>124</v>
      </c>
      <c r="B121" s="4">
        <v>8.41</v>
      </c>
    </row>
    <row r="122" spans="1:2" s="1" customFormat="1" x14ac:dyDescent="0.25">
      <c r="A122" s="2" t="s">
        <v>123</v>
      </c>
      <c r="B122" s="4">
        <v>8.41</v>
      </c>
    </row>
    <row r="123" spans="1:2" s="1" customFormat="1" x14ac:dyDescent="0.25">
      <c r="A123" s="2" t="s">
        <v>285</v>
      </c>
      <c r="B123" s="4">
        <v>8.41</v>
      </c>
    </row>
    <row r="124" spans="1:2" s="1" customFormat="1" x14ac:dyDescent="0.25">
      <c r="A124" s="2" t="s">
        <v>286</v>
      </c>
      <c r="B124" s="4">
        <v>8.41</v>
      </c>
    </row>
    <row r="125" spans="1:2" s="1" customFormat="1" x14ac:dyDescent="0.25">
      <c r="A125" s="2" t="s">
        <v>287</v>
      </c>
      <c r="B125" s="4">
        <v>8.41</v>
      </c>
    </row>
    <row r="126" spans="1:2" s="1" customFormat="1" x14ac:dyDescent="0.25">
      <c r="A126" s="2" t="s">
        <v>288</v>
      </c>
      <c r="B126" s="4">
        <v>8.41</v>
      </c>
    </row>
    <row r="127" spans="1:2" s="1" customFormat="1" x14ac:dyDescent="0.25">
      <c r="A127" s="2" t="s">
        <v>150</v>
      </c>
      <c r="B127" s="4">
        <v>8.41</v>
      </c>
    </row>
    <row r="128" spans="1:2" s="1" customFormat="1" x14ac:dyDescent="0.25">
      <c r="A128" s="2" t="s">
        <v>41</v>
      </c>
      <c r="B128" s="4">
        <v>8.41</v>
      </c>
    </row>
    <row r="129" spans="1:2" s="1" customFormat="1" x14ac:dyDescent="0.25">
      <c r="A129" s="2" t="s">
        <v>79</v>
      </c>
      <c r="B129" s="4">
        <v>8.41</v>
      </c>
    </row>
    <row r="130" spans="1:2" s="1" customFormat="1" x14ac:dyDescent="0.25">
      <c r="A130" s="2" t="s">
        <v>289</v>
      </c>
      <c r="B130" s="4">
        <v>8.41</v>
      </c>
    </row>
    <row r="131" spans="1:2" s="1" customFormat="1" x14ac:dyDescent="0.25">
      <c r="A131" s="2" t="s">
        <v>290</v>
      </c>
      <c r="B131" s="4">
        <v>8.41</v>
      </c>
    </row>
    <row r="132" spans="1:2" s="1" customFormat="1" x14ac:dyDescent="0.25">
      <c r="A132" s="2" t="s">
        <v>291</v>
      </c>
      <c r="B132" s="4">
        <v>8.41</v>
      </c>
    </row>
    <row r="133" spans="1:2" s="1" customFormat="1" x14ac:dyDescent="0.25">
      <c r="A133" s="2" t="s">
        <v>292</v>
      </c>
      <c r="B133" s="4">
        <v>8.41</v>
      </c>
    </row>
    <row r="134" spans="1:2" s="1" customFormat="1" x14ac:dyDescent="0.25">
      <c r="A134" s="2" t="s">
        <v>293</v>
      </c>
      <c r="B134" s="4">
        <v>8.41</v>
      </c>
    </row>
    <row r="135" spans="1:2" s="1" customFormat="1" x14ac:dyDescent="0.25">
      <c r="A135" s="2" t="s">
        <v>294</v>
      </c>
      <c r="B135" s="4">
        <v>8.41</v>
      </c>
    </row>
    <row r="136" spans="1:2" s="1" customFormat="1" x14ac:dyDescent="0.25">
      <c r="A136" s="2" t="s">
        <v>135</v>
      </c>
      <c r="B136" s="4">
        <v>8.41</v>
      </c>
    </row>
    <row r="137" spans="1:2" s="1" customFormat="1" x14ac:dyDescent="0.25">
      <c r="A137" s="2" t="s">
        <v>295</v>
      </c>
      <c r="B137" s="4">
        <v>8.41</v>
      </c>
    </row>
    <row r="138" spans="1:2" s="1" customFormat="1" x14ac:dyDescent="0.25">
      <c r="A138" s="2" t="s">
        <v>296</v>
      </c>
      <c r="B138" s="4">
        <v>8.41</v>
      </c>
    </row>
    <row r="139" spans="1:2" s="1" customFormat="1" x14ac:dyDescent="0.25">
      <c r="A139" s="2" t="s">
        <v>297</v>
      </c>
      <c r="B139" s="4">
        <v>8.41</v>
      </c>
    </row>
    <row r="140" spans="1:2" s="1" customFormat="1" x14ac:dyDescent="0.25">
      <c r="A140" s="2" t="s">
        <v>298</v>
      </c>
      <c r="B140" s="4">
        <v>8.41</v>
      </c>
    </row>
    <row r="141" spans="1:2" s="1" customFormat="1" x14ac:dyDescent="0.25">
      <c r="A141" s="2" t="s">
        <v>299</v>
      </c>
      <c r="B141" s="4">
        <v>8.41</v>
      </c>
    </row>
    <row r="142" spans="1:2" s="1" customFormat="1" x14ac:dyDescent="0.25">
      <c r="A142" s="2" t="s">
        <v>300</v>
      </c>
      <c r="B142" s="4">
        <v>8.41</v>
      </c>
    </row>
    <row r="143" spans="1:2" s="1" customFormat="1" x14ac:dyDescent="0.25">
      <c r="A143" s="2" t="s">
        <v>301</v>
      </c>
      <c r="B143" s="4">
        <v>8.41</v>
      </c>
    </row>
    <row r="144" spans="1:2" s="1" customFormat="1" x14ac:dyDescent="0.25">
      <c r="A144" s="2" t="s">
        <v>302</v>
      </c>
      <c r="B144" s="4">
        <v>8.41</v>
      </c>
    </row>
    <row r="145" spans="1:2" s="1" customFormat="1" x14ac:dyDescent="0.25">
      <c r="A145" s="2" t="s">
        <v>303</v>
      </c>
      <c r="B145" s="4">
        <v>8.41</v>
      </c>
    </row>
    <row r="146" spans="1:2" s="1" customFormat="1" x14ac:dyDescent="0.25">
      <c r="A146" s="2" t="s">
        <v>304</v>
      </c>
      <c r="B146" s="4">
        <v>8.41</v>
      </c>
    </row>
    <row r="147" spans="1:2" s="1" customFormat="1" x14ac:dyDescent="0.25">
      <c r="A147" s="2" t="s">
        <v>305</v>
      </c>
      <c r="B147" s="4">
        <v>8.41</v>
      </c>
    </row>
    <row r="148" spans="1:2" s="1" customFormat="1" x14ac:dyDescent="0.25">
      <c r="A148" s="2" t="s">
        <v>306</v>
      </c>
      <c r="B148" s="4">
        <v>8.41</v>
      </c>
    </row>
    <row r="149" spans="1:2" s="1" customFormat="1" x14ac:dyDescent="0.25">
      <c r="A149" s="2" t="s">
        <v>307</v>
      </c>
      <c r="B149" s="4">
        <v>8.41</v>
      </c>
    </row>
    <row r="150" spans="1:2" s="1" customFormat="1" x14ac:dyDescent="0.25">
      <c r="A150" s="2" t="s">
        <v>308</v>
      </c>
      <c r="B150" s="4">
        <v>8.41</v>
      </c>
    </row>
    <row r="151" spans="1:2" s="1" customFormat="1" x14ac:dyDescent="0.25">
      <c r="A151" s="2" t="s">
        <v>309</v>
      </c>
      <c r="B151" s="4">
        <v>8.41</v>
      </c>
    </row>
    <row r="152" spans="1:2" s="1" customFormat="1" x14ac:dyDescent="0.25">
      <c r="A152" s="2" t="s">
        <v>134</v>
      </c>
      <c r="B152" s="4">
        <v>8.41</v>
      </c>
    </row>
    <row r="153" spans="1:2" s="1" customFormat="1" x14ac:dyDescent="0.25">
      <c r="A153" s="2" t="s">
        <v>122</v>
      </c>
      <c r="B153" s="4">
        <v>8.41</v>
      </c>
    </row>
    <row r="154" spans="1:2" s="1" customFormat="1" x14ac:dyDescent="0.25">
      <c r="A154" s="2" t="s">
        <v>140</v>
      </c>
      <c r="B154" s="4">
        <v>8.41</v>
      </c>
    </row>
    <row r="155" spans="1:2" s="1" customFormat="1" x14ac:dyDescent="0.25">
      <c r="A155" s="2" t="s">
        <v>310</v>
      </c>
      <c r="B155" s="4">
        <v>8.41</v>
      </c>
    </row>
    <row r="156" spans="1:2" s="1" customFormat="1" x14ac:dyDescent="0.25">
      <c r="A156" s="2" t="s">
        <v>311</v>
      </c>
      <c r="B156" s="4">
        <v>8.41</v>
      </c>
    </row>
    <row r="157" spans="1:2" s="1" customFormat="1" x14ac:dyDescent="0.25">
      <c r="A157" s="2" t="s">
        <v>152</v>
      </c>
      <c r="B157" s="4">
        <v>8.41</v>
      </c>
    </row>
    <row r="158" spans="1:2" s="1" customFormat="1" x14ac:dyDescent="0.25">
      <c r="A158" s="2" t="s">
        <v>312</v>
      </c>
      <c r="B158" s="4">
        <v>8.41</v>
      </c>
    </row>
    <row r="159" spans="1:2" s="1" customFormat="1" x14ac:dyDescent="0.25">
      <c r="A159" s="2" t="s">
        <v>313</v>
      </c>
      <c r="B159" s="4">
        <v>8.41</v>
      </c>
    </row>
    <row r="160" spans="1:2" s="1" customFormat="1" x14ac:dyDescent="0.25">
      <c r="A160" s="2" t="s">
        <v>314</v>
      </c>
      <c r="B160" s="4">
        <v>8.41</v>
      </c>
    </row>
    <row r="161" spans="1:2" s="1" customFormat="1" x14ac:dyDescent="0.25">
      <c r="A161" s="2" t="s">
        <v>315</v>
      </c>
      <c r="B161" s="4">
        <v>8.41</v>
      </c>
    </row>
    <row r="162" spans="1:2" s="1" customFormat="1" x14ac:dyDescent="0.25">
      <c r="A162" s="2" t="s">
        <v>316</v>
      </c>
      <c r="B162" s="4">
        <v>8.41</v>
      </c>
    </row>
    <row r="163" spans="1:2" s="1" customFormat="1" x14ac:dyDescent="0.25">
      <c r="A163" s="2" t="s">
        <v>45</v>
      </c>
      <c r="B163" s="4">
        <v>8.41</v>
      </c>
    </row>
    <row r="164" spans="1:2" s="1" customFormat="1" x14ac:dyDescent="0.25">
      <c r="A164" s="2" t="s">
        <v>317</v>
      </c>
      <c r="B164" s="4">
        <v>8.41</v>
      </c>
    </row>
    <row r="165" spans="1:2" s="1" customFormat="1" x14ac:dyDescent="0.25">
      <c r="A165" s="2" t="s">
        <v>85</v>
      </c>
      <c r="B165" s="4">
        <v>8.41</v>
      </c>
    </row>
    <row r="166" spans="1:2" s="1" customFormat="1" x14ac:dyDescent="0.25">
      <c r="A166" s="2" t="s">
        <v>318</v>
      </c>
      <c r="B166" s="4">
        <v>8.41</v>
      </c>
    </row>
    <row r="167" spans="1:2" s="1" customFormat="1" x14ac:dyDescent="0.25">
      <c r="A167" s="2" t="s">
        <v>76</v>
      </c>
      <c r="B167" s="4">
        <v>8.41</v>
      </c>
    </row>
    <row r="168" spans="1:2" s="1" customFormat="1" x14ac:dyDescent="0.25">
      <c r="A168" s="2" t="s">
        <v>319</v>
      </c>
      <c r="B168" s="4">
        <v>8.41</v>
      </c>
    </row>
    <row r="169" spans="1:2" s="1" customFormat="1" x14ac:dyDescent="0.25">
      <c r="A169" s="2" t="s">
        <v>320</v>
      </c>
      <c r="B169" s="4">
        <v>8.41</v>
      </c>
    </row>
    <row r="170" spans="1:2" s="1" customFormat="1" x14ac:dyDescent="0.25">
      <c r="A170" s="2" t="s">
        <v>321</v>
      </c>
      <c r="B170" s="4">
        <v>8.41</v>
      </c>
    </row>
    <row r="171" spans="1:2" s="1" customFormat="1" x14ac:dyDescent="0.25">
      <c r="A171" s="2" t="s">
        <v>322</v>
      </c>
      <c r="B171" s="4">
        <v>8.41</v>
      </c>
    </row>
    <row r="172" spans="1:2" s="1" customFormat="1" x14ac:dyDescent="0.25">
      <c r="A172" s="2" t="s">
        <v>74</v>
      </c>
      <c r="B172" s="4">
        <v>8.41</v>
      </c>
    </row>
    <row r="173" spans="1:2" s="1" customFormat="1" x14ac:dyDescent="0.25">
      <c r="A173" s="2" t="s">
        <v>95</v>
      </c>
      <c r="B173" s="4">
        <v>8.41</v>
      </c>
    </row>
    <row r="174" spans="1:2" s="1" customFormat="1" x14ac:dyDescent="0.25">
      <c r="A174" s="2" t="s">
        <v>323</v>
      </c>
      <c r="B174" s="4">
        <v>8.41</v>
      </c>
    </row>
    <row r="175" spans="1:2" s="1" customFormat="1" x14ac:dyDescent="0.25">
      <c r="A175" s="2" t="s">
        <v>324</v>
      </c>
      <c r="B175" s="4">
        <v>8.41</v>
      </c>
    </row>
    <row r="176" spans="1:2" s="1" customFormat="1" x14ac:dyDescent="0.25">
      <c r="A176" s="2" t="s">
        <v>325</v>
      </c>
      <c r="B176" s="4">
        <v>8.41</v>
      </c>
    </row>
    <row r="177" spans="1:2" s="1" customFormat="1" x14ac:dyDescent="0.25">
      <c r="A177" s="2" t="s">
        <v>326</v>
      </c>
      <c r="B177" s="4">
        <v>8.41</v>
      </c>
    </row>
    <row r="178" spans="1:2" s="1" customFormat="1" x14ac:dyDescent="0.25">
      <c r="A178" s="2" t="s">
        <v>327</v>
      </c>
      <c r="B178" s="4">
        <v>8.41</v>
      </c>
    </row>
    <row r="179" spans="1:2" s="1" customFormat="1" x14ac:dyDescent="0.25">
      <c r="A179" s="2" t="s">
        <v>328</v>
      </c>
      <c r="B179" s="4">
        <v>8.41</v>
      </c>
    </row>
    <row r="180" spans="1:2" s="1" customFormat="1" x14ac:dyDescent="0.25">
      <c r="A180" s="2" t="s">
        <v>329</v>
      </c>
      <c r="B180" s="4">
        <v>8.41</v>
      </c>
    </row>
    <row r="181" spans="1:2" s="1" customFormat="1" x14ac:dyDescent="0.25">
      <c r="A181" s="2" t="s">
        <v>330</v>
      </c>
      <c r="B181" s="4">
        <v>8.41</v>
      </c>
    </row>
    <row r="182" spans="1:2" s="1" customFormat="1" x14ac:dyDescent="0.25">
      <c r="A182" s="2" t="s">
        <v>121</v>
      </c>
      <c r="B182" s="4">
        <v>8.41</v>
      </c>
    </row>
    <row r="183" spans="1:2" s="1" customFormat="1" x14ac:dyDescent="0.25">
      <c r="A183" s="2" t="s">
        <v>120</v>
      </c>
      <c r="B183" s="4">
        <v>8.41</v>
      </c>
    </row>
    <row r="184" spans="1:2" s="1" customFormat="1" x14ac:dyDescent="0.25">
      <c r="A184" s="2" t="s">
        <v>331</v>
      </c>
      <c r="B184" s="4">
        <v>8.41</v>
      </c>
    </row>
    <row r="185" spans="1:2" s="1" customFormat="1" x14ac:dyDescent="0.25">
      <c r="A185" s="2" t="s">
        <v>332</v>
      </c>
      <c r="B185" s="4">
        <v>8.41</v>
      </c>
    </row>
    <row r="186" spans="1:2" s="1" customFormat="1" x14ac:dyDescent="0.25">
      <c r="A186" s="2" t="s">
        <v>333</v>
      </c>
      <c r="B186" s="4">
        <v>8.41</v>
      </c>
    </row>
    <row r="187" spans="1:2" s="1" customFormat="1" x14ac:dyDescent="0.25">
      <c r="A187" s="2" t="s">
        <v>334</v>
      </c>
      <c r="B187" s="4">
        <v>8.41</v>
      </c>
    </row>
    <row r="188" spans="1:2" s="1" customFormat="1" x14ac:dyDescent="0.25">
      <c r="A188" s="2" t="s">
        <v>335</v>
      </c>
      <c r="B188" s="4">
        <v>8.41</v>
      </c>
    </row>
    <row r="189" spans="1:2" s="1" customFormat="1" x14ac:dyDescent="0.25">
      <c r="A189" s="2" t="s">
        <v>154</v>
      </c>
      <c r="B189" s="4">
        <v>8.41</v>
      </c>
    </row>
    <row r="190" spans="1:2" s="1" customFormat="1" x14ac:dyDescent="0.25">
      <c r="A190" s="2" t="s">
        <v>336</v>
      </c>
      <c r="B190" s="4">
        <v>8.41</v>
      </c>
    </row>
    <row r="191" spans="1:2" s="1" customFormat="1" x14ac:dyDescent="0.25">
      <c r="A191" s="2" t="s">
        <v>337</v>
      </c>
      <c r="B191" s="4">
        <v>8.41</v>
      </c>
    </row>
    <row r="192" spans="1:2" s="1" customFormat="1" x14ac:dyDescent="0.25">
      <c r="A192" s="2" t="s">
        <v>338</v>
      </c>
      <c r="B192" s="4">
        <v>8.41</v>
      </c>
    </row>
    <row r="193" spans="1:2" s="1" customFormat="1" x14ac:dyDescent="0.25">
      <c r="A193" s="2" t="s">
        <v>339</v>
      </c>
      <c r="B193" s="4">
        <v>8.41</v>
      </c>
    </row>
    <row r="194" spans="1:2" s="1" customFormat="1" x14ac:dyDescent="0.25">
      <c r="A194" s="2" t="s">
        <v>340</v>
      </c>
      <c r="B194" s="4">
        <v>8.41</v>
      </c>
    </row>
    <row r="195" spans="1:2" s="1" customFormat="1" x14ac:dyDescent="0.25">
      <c r="A195" s="2" t="s">
        <v>341</v>
      </c>
      <c r="B195" s="4">
        <v>8.41</v>
      </c>
    </row>
    <row r="196" spans="1:2" s="1" customFormat="1" x14ac:dyDescent="0.25">
      <c r="A196" s="2" t="s">
        <v>342</v>
      </c>
      <c r="B196" s="4">
        <v>8.41</v>
      </c>
    </row>
    <row r="197" spans="1:2" s="1" customFormat="1" x14ac:dyDescent="0.25">
      <c r="A197" s="2" t="s">
        <v>89</v>
      </c>
      <c r="B197" s="4">
        <v>8.41</v>
      </c>
    </row>
    <row r="198" spans="1:2" s="1" customFormat="1" x14ac:dyDescent="0.25">
      <c r="A198" s="2" t="s">
        <v>343</v>
      </c>
      <c r="B198" s="4">
        <v>8.41</v>
      </c>
    </row>
    <row r="199" spans="1:2" s="1" customFormat="1" x14ac:dyDescent="0.25">
      <c r="A199" s="2" t="s">
        <v>344</v>
      </c>
      <c r="B199" s="4">
        <v>8.41</v>
      </c>
    </row>
    <row r="200" spans="1:2" s="1" customFormat="1" x14ac:dyDescent="0.25">
      <c r="A200" s="2" t="s">
        <v>345</v>
      </c>
      <c r="B200" s="4">
        <v>8.41</v>
      </c>
    </row>
    <row r="201" spans="1:2" s="1" customFormat="1" x14ac:dyDescent="0.25">
      <c r="A201" s="2" t="s">
        <v>346</v>
      </c>
      <c r="B201" s="4">
        <v>8.41</v>
      </c>
    </row>
    <row r="202" spans="1:2" s="1" customFormat="1" x14ac:dyDescent="0.25">
      <c r="A202" s="2" t="s">
        <v>347</v>
      </c>
      <c r="B202" s="4">
        <v>8.41</v>
      </c>
    </row>
    <row r="203" spans="1:2" s="1" customFormat="1" x14ac:dyDescent="0.25">
      <c r="A203" s="2" t="s">
        <v>348</v>
      </c>
      <c r="B203" s="4">
        <v>8.41</v>
      </c>
    </row>
    <row r="204" spans="1:2" s="1" customFormat="1" x14ac:dyDescent="0.25">
      <c r="A204" s="2" t="s">
        <v>349</v>
      </c>
      <c r="B204" s="4">
        <v>8.41</v>
      </c>
    </row>
    <row r="205" spans="1:2" s="1" customFormat="1" x14ac:dyDescent="0.25">
      <c r="A205" s="2" t="s">
        <v>350</v>
      </c>
      <c r="B205" s="4">
        <v>8.41</v>
      </c>
    </row>
    <row r="206" spans="1:2" s="1" customFormat="1" x14ac:dyDescent="0.25">
      <c r="A206" s="2" t="s">
        <v>351</v>
      </c>
      <c r="B206" s="4">
        <v>8.41</v>
      </c>
    </row>
    <row r="207" spans="1:2" s="1" customFormat="1" x14ac:dyDescent="0.25">
      <c r="A207" s="2" t="s">
        <v>352</v>
      </c>
      <c r="B207" s="4">
        <v>8.41</v>
      </c>
    </row>
    <row r="208" spans="1:2" s="1" customFormat="1" x14ac:dyDescent="0.25">
      <c r="A208" s="2" t="s">
        <v>353</v>
      </c>
      <c r="B208" s="4">
        <v>8.41</v>
      </c>
    </row>
    <row r="209" spans="1:2" s="1" customFormat="1" x14ac:dyDescent="0.25">
      <c r="A209" s="2" t="s">
        <v>354</v>
      </c>
      <c r="B209" s="4">
        <v>8.41</v>
      </c>
    </row>
    <row r="210" spans="1:2" s="1" customFormat="1" x14ac:dyDescent="0.25">
      <c r="A210" s="2" t="s">
        <v>355</v>
      </c>
      <c r="B210" s="4">
        <v>8.41</v>
      </c>
    </row>
    <row r="211" spans="1:2" s="1" customFormat="1" x14ac:dyDescent="0.25">
      <c r="A211" s="2" t="s">
        <v>356</v>
      </c>
      <c r="B211" s="4">
        <v>8.41</v>
      </c>
    </row>
    <row r="212" spans="1:2" s="1" customFormat="1" x14ac:dyDescent="0.25">
      <c r="A212" s="2" t="s">
        <v>357</v>
      </c>
      <c r="B212" s="4">
        <v>8.41</v>
      </c>
    </row>
    <row r="213" spans="1:2" s="1" customFormat="1" x14ac:dyDescent="0.25">
      <c r="A213" s="2" t="s">
        <v>119</v>
      </c>
      <c r="B213" s="4">
        <v>8.41</v>
      </c>
    </row>
    <row r="214" spans="1:2" s="1" customFormat="1" x14ac:dyDescent="0.25">
      <c r="A214" s="2" t="s">
        <v>118</v>
      </c>
      <c r="B214" s="4">
        <v>8.41</v>
      </c>
    </row>
    <row r="215" spans="1:2" s="1" customFormat="1" x14ac:dyDescent="0.25">
      <c r="A215" s="2" t="s">
        <v>358</v>
      </c>
      <c r="B215" s="4">
        <v>8.41</v>
      </c>
    </row>
    <row r="216" spans="1:2" s="1" customFormat="1" x14ac:dyDescent="0.25">
      <c r="A216" s="2" t="s">
        <v>359</v>
      </c>
      <c r="B216" s="4">
        <v>8.41</v>
      </c>
    </row>
    <row r="217" spans="1:2" s="1" customFormat="1" x14ac:dyDescent="0.25">
      <c r="A217" s="2" t="s">
        <v>360</v>
      </c>
      <c r="B217" s="4">
        <v>8.41</v>
      </c>
    </row>
    <row r="218" spans="1:2" s="1" customFormat="1" x14ac:dyDescent="0.25">
      <c r="A218" s="2" t="s">
        <v>361</v>
      </c>
      <c r="B218" s="4">
        <v>8.41</v>
      </c>
    </row>
    <row r="219" spans="1:2" s="1" customFormat="1" x14ac:dyDescent="0.25">
      <c r="A219" s="2" t="s">
        <v>156</v>
      </c>
      <c r="B219" s="4">
        <v>8.41</v>
      </c>
    </row>
    <row r="220" spans="1:2" s="1" customFormat="1" x14ac:dyDescent="0.25">
      <c r="A220" s="2" t="s">
        <v>80</v>
      </c>
      <c r="B220" s="4">
        <v>8.41</v>
      </c>
    </row>
    <row r="221" spans="1:2" s="1" customFormat="1" x14ac:dyDescent="0.25">
      <c r="A221" s="2" t="s">
        <v>362</v>
      </c>
      <c r="B221" s="4">
        <v>8.41</v>
      </c>
    </row>
    <row r="222" spans="1:2" s="1" customFormat="1" x14ac:dyDescent="0.25">
      <c r="A222" s="2" t="s">
        <v>363</v>
      </c>
      <c r="B222" s="4">
        <v>8.41</v>
      </c>
    </row>
    <row r="223" spans="1:2" s="1" customFormat="1" x14ac:dyDescent="0.25">
      <c r="A223" s="2" t="s">
        <v>364</v>
      </c>
      <c r="B223" s="4">
        <v>8.41</v>
      </c>
    </row>
    <row r="224" spans="1:2" s="1" customFormat="1" x14ac:dyDescent="0.25">
      <c r="A224" s="2" t="s">
        <v>365</v>
      </c>
      <c r="B224" s="4">
        <v>8.41</v>
      </c>
    </row>
    <row r="225" spans="1:2" s="1" customFormat="1" x14ac:dyDescent="0.25">
      <c r="A225" s="2" t="s">
        <v>366</v>
      </c>
      <c r="B225" s="4">
        <v>8.41</v>
      </c>
    </row>
    <row r="226" spans="1:2" s="1" customFormat="1" x14ac:dyDescent="0.25">
      <c r="A226" s="2" t="s">
        <v>367</v>
      </c>
      <c r="B226" s="4">
        <v>8.41</v>
      </c>
    </row>
    <row r="227" spans="1:2" s="1" customFormat="1" x14ac:dyDescent="0.25">
      <c r="A227" s="2" t="s">
        <v>368</v>
      </c>
      <c r="B227" s="4">
        <v>8.41</v>
      </c>
    </row>
    <row r="228" spans="1:2" s="1" customFormat="1" x14ac:dyDescent="0.25">
      <c r="A228" s="2" t="s">
        <v>117</v>
      </c>
      <c r="B228" s="4">
        <v>8.41</v>
      </c>
    </row>
    <row r="229" spans="1:2" s="1" customFormat="1" x14ac:dyDescent="0.25">
      <c r="A229" s="2" t="s">
        <v>369</v>
      </c>
      <c r="B229" s="4">
        <v>8.41</v>
      </c>
    </row>
    <row r="230" spans="1:2" s="1" customFormat="1" x14ac:dyDescent="0.25">
      <c r="A230" s="2" t="s">
        <v>370</v>
      </c>
      <c r="B230" s="4">
        <v>8.41</v>
      </c>
    </row>
    <row r="231" spans="1:2" s="1" customFormat="1" x14ac:dyDescent="0.25">
      <c r="A231" s="2" t="s">
        <v>371</v>
      </c>
      <c r="B231" s="4">
        <v>8.41</v>
      </c>
    </row>
    <row r="232" spans="1:2" s="1" customFormat="1" x14ac:dyDescent="0.25">
      <c r="A232" s="2" t="s">
        <v>372</v>
      </c>
      <c r="B232" s="4">
        <v>8.41</v>
      </c>
    </row>
    <row r="233" spans="1:2" s="1" customFormat="1" x14ac:dyDescent="0.25">
      <c r="A233" s="2" t="s">
        <v>61</v>
      </c>
      <c r="B233" s="4">
        <v>8.41</v>
      </c>
    </row>
    <row r="234" spans="1:2" s="1" customFormat="1" x14ac:dyDescent="0.25">
      <c r="A234" s="2" t="s">
        <v>373</v>
      </c>
      <c r="B234" s="4">
        <v>8.41</v>
      </c>
    </row>
    <row r="235" spans="1:2" s="1" customFormat="1" x14ac:dyDescent="0.25">
      <c r="A235" s="2" t="s">
        <v>374</v>
      </c>
      <c r="B235" s="4">
        <v>8.41</v>
      </c>
    </row>
    <row r="236" spans="1:2" s="1" customFormat="1" x14ac:dyDescent="0.25">
      <c r="A236" s="2" t="s">
        <v>375</v>
      </c>
      <c r="B236" s="4">
        <v>8.41</v>
      </c>
    </row>
    <row r="237" spans="1:2" s="1" customFormat="1" x14ac:dyDescent="0.25">
      <c r="A237" s="2" t="s">
        <v>376</v>
      </c>
      <c r="B237" s="4">
        <v>8.41</v>
      </c>
    </row>
    <row r="238" spans="1:2" s="1" customFormat="1" x14ac:dyDescent="0.25">
      <c r="A238" s="2" t="s">
        <v>377</v>
      </c>
      <c r="B238" s="4">
        <v>8.41</v>
      </c>
    </row>
    <row r="239" spans="1:2" s="1" customFormat="1" x14ac:dyDescent="0.25">
      <c r="A239" s="2" t="s">
        <v>378</v>
      </c>
      <c r="B239" s="4">
        <v>8.41</v>
      </c>
    </row>
    <row r="240" spans="1:2" s="1" customFormat="1" x14ac:dyDescent="0.25">
      <c r="A240" s="2" t="s">
        <v>379</v>
      </c>
      <c r="B240" s="4">
        <v>8.41</v>
      </c>
    </row>
    <row r="241" spans="1:2" s="1" customFormat="1" x14ac:dyDescent="0.25">
      <c r="A241" s="2" t="s">
        <v>380</v>
      </c>
      <c r="B241" s="4">
        <v>8.41</v>
      </c>
    </row>
    <row r="242" spans="1:2" s="1" customFormat="1" x14ac:dyDescent="0.25">
      <c r="A242" s="2" t="s">
        <v>381</v>
      </c>
      <c r="B242" s="4">
        <v>8.41</v>
      </c>
    </row>
    <row r="243" spans="1:2" s="1" customFormat="1" x14ac:dyDescent="0.25">
      <c r="A243" s="2" t="s">
        <v>382</v>
      </c>
      <c r="B243" s="4">
        <v>8.41</v>
      </c>
    </row>
    <row r="244" spans="1:2" s="1" customFormat="1" x14ac:dyDescent="0.25">
      <c r="A244" s="2" t="s">
        <v>116</v>
      </c>
      <c r="B244" s="4">
        <v>8.41</v>
      </c>
    </row>
    <row r="245" spans="1:2" s="1" customFormat="1" x14ac:dyDescent="0.25">
      <c r="A245" s="2" t="s">
        <v>115</v>
      </c>
      <c r="B245" s="4">
        <v>8.41</v>
      </c>
    </row>
    <row r="246" spans="1:2" s="1" customFormat="1" x14ac:dyDescent="0.25">
      <c r="A246" s="2" t="s">
        <v>141</v>
      </c>
      <c r="B246" s="4">
        <v>8.41</v>
      </c>
    </row>
    <row r="247" spans="1:2" s="1" customFormat="1" x14ac:dyDescent="0.25">
      <c r="A247" s="2" t="s">
        <v>383</v>
      </c>
      <c r="B247" s="4">
        <v>8.41</v>
      </c>
    </row>
    <row r="248" spans="1:2" s="1" customFormat="1" x14ac:dyDescent="0.25">
      <c r="A248" s="2" t="s">
        <v>384</v>
      </c>
      <c r="B248" s="4">
        <v>8.41</v>
      </c>
    </row>
    <row r="249" spans="1:2" s="1" customFormat="1" x14ac:dyDescent="0.25">
      <c r="A249" s="2" t="s">
        <v>158</v>
      </c>
      <c r="B249" s="4">
        <v>8.41</v>
      </c>
    </row>
    <row r="250" spans="1:2" s="1" customFormat="1" x14ac:dyDescent="0.25">
      <c r="A250" s="2" t="s">
        <v>385</v>
      </c>
      <c r="B250" s="4">
        <v>8.41</v>
      </c>
    </row>
    <row r="251" spans="1:2" s="1" customFormat="1" x14ac:dyDescent="0.25">
      <c r="A251" s="2" t="s">
        <v>386</v>
      </c>
      <c r="B251" s="4">
        <v>8.41</v>
      </c>
    </row>
    <row r="252" spans="1:2" s="1" customFormat="1" x14ac:dyDescent="0.25">
      <c r="A252" s="2" t="s">
        <v>387</v>
      </c>
      <c r="B252" s="4">
        <v>8.41</v>
      </c>
    </row>
    <row r="253" spans="1:2" s="1" customFormat="1" x14ac:dyDescent="0.25">
      <c r="A253" s="2" t="s">
        <v>388</v>
      </c>
      <c r="B253" s="4">
        <v>8.41</v>
      </c>
    </row>
    <row r="254" spans="1:2" s="1" customFormat="1" x14ac:dyDescent="0.25">
      <c r="A254" s="2" t="s">
        <v>389</v>
      </c>
      <c r="B254" s="4">
        <v>8.41</v>
      </c>
    </row>
    <row r="255" spans="1:2" s="1" customFormat="1" x14ac:dyDescent="0.25">
      <c r="A255" s="2" t="s">
        <v>88</v>
      </c>
      <c r="B255" s="4">
        <v>8.41</v>
      </c>
    </row>
    <row r="256" spans="1:2" s="1" customFormat="1" x14ac:dyDescent="0.25">
      <c r="A256" s="2" t="s">
        <v>86</v>
      </c>
      <c r="B256" s="4">
        <v>8.41</v>
      </c>
    </row>
    <row r="257" spans="1:2" s="1" customFormat="1" x14ac:dyDescent="0.25">
      <c r="A257" s="2" t="s">
        <v>390</v>
      </c>
      <c r="B257" s="4">
        <v>8.41</v>
      </c>
    </row>
    <row r="258" spans="1:2" s="1" customFormat="1" x14ac:dyDescent="0.25">
      <c r="A258" s="2" t="s">
        <v>391</v>
      </c>
      <c r="B258" s="4">
        <v>8.41</v>
      </c>
    </row>
    <row r="259" spans="1:2" s="1" customFormat="1" x14ac:dyDescent="0.25">
      <c r="A259" s="2" t="s">
        <v>77</v>
      </c>
      <c r="B259" s="4">
        <v>8.41</v>
      </c>
    </row>
    <row r="260" spans="1:2" s="1" customFormat="1" x14ac:dyDescent="0.25">
      <c r="A260" s="2" t="s">
        <v>392</v>
      </c>
      <c r="B260" s="4">
        <v>8.41</v>
      </c>
    </row>
    <row r="261" spans="1:2" s="1" customFormat="1" x14ac:dyDescent="0.25">
      <c r="A261" s="2" t="s">
        <v>393</v>
      </c>
      <c r="B261" s="4">
        <v>8.41</v>
      </c>
    </row>
    <row r="262" spans="1:2" s="1" customFormat="1" x14ac:dyDescent="0.25">
      <c r="A262" s="2" t="s">
        <v>394</v>
      </c>
      <c r="B262" s="4">
        <v>8.41</v>
      </c>
    </row>
    <row r="263" spans="1:2" s="1" customFormat="1" x14ac:dyDescent="0.25">
      <c r="A263" s="2" t="s">
        <v>395</v>
      </c>
      <c r="B263" s="4">
        <v>8.41</v>
      </c>
    </row>
    <row r="264" spans="1:2" s="1" customFormat="1" x14ac:dyDescent="0.25">
      <c r="A264" s="2" t="s">
        <v>396</v>
      </c>
      <c r="B264" s="4">
        <v>8.41</v>
      </c>
    </row>
    <row r="265" spans="1:2" s="1" customFormat="1" x14ac:dyDescent="0.25">
      <c r="A265" s="2" t="s">
        <v>397</v>
      </c>
      <c r="B265" s="4">
        <v>8.41</v>
      </c>
    </row>
    <row r="266" spans="1:2" s="1" customFormat="1" x14ac:dyDescent="0.25">
      <c r="A266" s="2" t="s">
        <v>398</v>
      </c>
      <c r="B266" s="4">
        <v>8.41</v>
      </c>
    </row>
    <row r="267" spans="1:2" s="1" customFormat="1" x14ac:dyDescent="0.25">
      <c r="A267" s="2" t="s">
        <v>399</v>
      </c>
      <c r="B267" s="4">
        <v>8.41</v>
      </c>
    </row>
    <row r="268" spans="1:2" s="1" customFormat="1" x14ac:dyDescent="0.25">
      <c r="A268" s="2" t="s">
        <v>400</v>
      </c>
      <c r="B268" s="4">
        <v>8.41</v>
      </c>
    </row>
    <row r="269" spans="1:2" s="1" customFormat="1" x14ac:dyDescent="0.25">
      <c r="A269" s="2" t="s">
        <v>401</v>
      </c>
      <c r="B269" s="4">
        <v>8.41</v>
      </c>
    </row>
    <row r="270" spans="1:2" s="1" customFormat="1" x14ac:dyDescent="0.25">
      <c r="A270" s="2" t="s">
        <v>402</v>
      </c>
      <c r="B270" s="4">
        <v>8.41</v>
      </c>
    </row>
    <row r="271" spans="1:2" s="1" customFormat="1" x14ac:dyDescent="0.25">
      <c r="A271" s="2" t="s">
        <v>403</v>
      </c>
      <c r="B271" s="4">
        <v>8.41</v>
      </c>
    </row>
    <row r="272" spans="1:2" s="1" customFormat="1" x14ac:dyDescent="0.25">
      <c r="A272" s="2" t="s">
        <v>404</v>
      </c>
      <c r="B272" s="4">
        <v>8.41</v>
      </c>
    </row>
    <row r="273" spans="1:2" s="1" customFormat="1" x14ac:dyDescent="0.25">
      <c r="A273" s="2" t="s">
        <v>405</v>
      </c>
      <c r="B273" s="4">
        <v>8.41</v>
      </c>
    </row>
    <row r="274" spans="1:2" s="1" customFormat="1" x14ac:dyDescent="0.25">
      <c r="A274" s="2" t="s">
        <v>114</v>
      </c>
      <c r="B274" s="4">
        <v>8.41</v>
      </c>
    </row>
    <row r="275" spans="1:2" s="1" customFormat="1" x14ac:dyDescent="0.25">
      <c r="A275" s="2" t="s">
        <v>113</v>
      </c>
      <c r="B275" s="4">
        <v>8.41</v>
      </c>
    </row>
    <row r="276" spans="1:2" s="1" customFormat="1" x14ac:dyDescent="0.25">
      <c r="A276" s="2" t="s">
        <v>406</v>
      </c>
      <c r="B276" s="4">
        <v>8.41</v>
      </c>
    </row>
    <row r="277" spans="1:2" s="1" customFormat="1" x14ac:dyDescent="0.25">
      <c r="A277" s="2" t="s">
        <v>407</v>
      </c>
      <c r="B277" s="4">
        <v>8.41</v>
      </c>
    </row>
    <row r="278" spans="1:2" s="1" customFormat="1" x14ac:dyDescent="0.25">
      <c r="A278" s="2" t="s">
        <v>408</v>
      </c>
      <c r="B278" s="4">
        <v>8.41</v>
      </c>
    </row>
    <row r="279" spans="1:2" s="1" customFormat="1" x14ac:dyDescent="0.25">
      <c r="A279" s="2" t="s">
        <v>409</v>
      </c>
      <c r="B279" s="4">
        <v>8.41</v>
      </c>
    </row>
    <row r="280" spans="1:2" s="1" customFormat="1" x14ac:dyDescent="0.25">
      <c r="A280" s="2" t="s">
        <v>410</v>
      </c>
      <c r="B280" s="4">
        <v>8.41</v>
      </c>
    </row>
    <row r="281" spans="1:2" s="1" customFormat="1" x14ac:dyDescent="0.25">
      <c r="A281" s="2" t="s">
        <v>160</v>
      </c>
      <c r="B281" s="4">
        <v>8.41</v>
      </c>
    </row>
    <row r="282" spans="1:2" s="1" customFormat="1" x14ac:dyDescent="0.25">
      <c r="A282" s="2" t="s">
        <v>62</v>
      </c>
      <c r="B282" s="4">
        <v>8.41</v>
      </c>
    </row>
    <row r="283" spans="1:2" s="1" customFormat="1" x14ac:dyDescent="0.25">
      <c r="A283" s="2" t="s">
        <v>411</v>
      </c>
      <c r="B283" s="4">
        <v>8.41</v>
      </c>
    </row>
    <row r="284" spans="1:2" s="1" customFormat="1" x14ac:dyDescent="0.25">
      <c r="A284" s="2" t="s">
        <v>412</v>
      </c>
      <c r="B284" s="4">
        <v>8.41</v>
      </c>
    </row>
    <row r="285" spans="1:2" s="1" customFormat="1" x14ac:dyDescent="0.25">
      <c r="A285" s="2" t="s">
        <v>413</v>
      </c>
      <c r="B285" s="4">
        <v>8.41</v>
      </c>
    </row>
    <row r="286" spans="1:2" s="1" customFormat="1" x14ac:dyDescent="0.25">
      <c r="A286" s="2" t="s">
        <v>414</v>
      </c>
      <c r="B286" s="4">
        <v>8.41</v>
      </c>
    </row>
    <row r="287" spans="1:2" s="1" customFormat="1" x14ac:dyDescent="0.25">
      <c r="A287" s="2" t="s">
        <v>415</v>
      </c>
      <c r="B287" s="4">
        <v>8.41</v>
      </c>
    </row>
    <row r="288" spans="1:2" s="1" customFormat="1" x14ac:dyDescent="0.25">
      <c r="A288" s="2" t="s">
        <v>416</v>
      </c>
      <c r="B288" s="4">
        <v>8.41</v>
      </c>
    </row>
    <row r="289" spans="1:2" s="1" customFormat="1" x14ac:dyDescent="0.25">
      <c r="A289" s="2" t="s">
        <v>112</v>
      </c>
      <c r="B289" s="4">
        <v>8.41</v>
      </c>
    </row>
    <row r="290" spans="1:2" s="1" customFormat="1" x14ac:dyDescent="0.25">
      <c r="A290" s="2" t="s">
        <v>417</v>
      </c>
      <c r="B290" s="4">
        <v>8.41</v>
      </c>
    </row>
    <row r="291" spans="1:2" s="1" customFormat="1" x14ac:dyDescent="0.25">
      <c r="A291" s="2" t="s">
        <v>418</v>
      </c>
      <c r="B291" s="4">
        <v>8.41</v>
      </c>
    </row>
    <row r="292" spans="1:2" s="1" customFormat="1" x14ac:dyDescent="0.25">
      <c r="A292" s="2" t="s">
        <v>419</v>
      </c>
      <c r="B292" s="4">
        <v>8.41</v>
      </c>
    </row>
    <row r="293" spans="1:2" s="1" customFormat="1" x14ac:dyDescent="0.25">
      <c r="A293" s="2" t="s">
        <v>420</v>
      </c>
      <c r="B293" s="4">
        <v>8.41</v>
      </c>
    </row>
    <row r="294" spans="1:2" s="1" customFormat="1" x14ac:dyDescent="0.25">
      <c r="A294" s="2" t="s">
        <v>421</v>
      </c>
      <c r="B294" s="4">
        <v>8.41</v>
      </c>
    </row>
    <row r="295" spans="1:2" s="1" customFormat="1" x14ac:dyDescent="0.25">
      <c r="A295" s="2" t="s">
        <v>422</v>
      </c>
      <c r="B295" s="4">
        <v>8.41</v>
      </c>
    </row>
    <row r="296" spans="1:2" s="1" customFormat="1" x14ac:dyDescent="0.25">
      <c r="A296" s="2" t="s">
        <v>83</v>
      </c>
      <c r="B296" s="4">
        <v>8.41</v>
      </c>
    </row>
    <row r="297" spans="1:2" s="1" customFormat="1" x14ac:dyDescent="0.25">
      <c r="A297" s="2" t="s">
        <v>423</v>
      </c>
      <c r="B297" s="4">
        <v>8.41</v>
      </c>
    </row>
    <row r="298" spans="1:2" s="1" customFormat="1" x14ac:dyDescent="0.25">
      <c r="A298" s="2" t="s">
        <v>424</v>
      </c>
      <c r="B298" s="4">
        <v>8.41</v>
      </c>
    </row>
    <row r="299" spans="1:2" s="1" customFormat="1" x14ac:dyDescent="0.25">
      <c r="A299" s="2" t="s">
        <v>425</v>
      </c>
      <c r="B299" s="4">
        <v>8.41</v>
      </c>
    </row>
    <row r="300" spans="1:2" s="1" customFormat="1" x14ac:dyDescent="0.25">
      <c r="A300" s="2" t="s">
        <v>426</v>
      </c>
      <c r="B300" s="4">
        <v>8.41</v>
      </c>
    </row>
    <row r="301" spans="1:2" s="1" customFormat="1" x14ac:dyDescent="0.25">
      <c r="A301" s="2" t="s">
        <v>427</v>
      </c>
      <c r="B301" s="4">
        <v>8.41</v>
      </c>
    </row>
    <row r="302" spans="1:2" s="1" customFormat="1" x14ac:dyDescent="0.25">
      <c r="A302" s="2" t="s">
        <v>428</v>
      </c>
      <c r="B302" s="4">
        <v>8.41</v>
      </c>
    </row>
    <row r="303" spans="1:2" s="1" customFormat="1" x14ac:dyDescent="0.25">
      <c r="A303" s="2" t="s">
        <v>429</v>
      </c>
      <c r="B303" s="4">
        <v>8.41</v>
      </c>
    </row>
    <row r="304" spans="1:2" s="1" customFormat="1" x14ac:dyDescent="0.25">
      <c r="A304" s="2" t="s">
        <v>430</v>
      </c>
      <c r="B304" s="4">
        <v>8.41</v>
      </c>
    </row>
    <row r="305" spans="1:2" s="1" customFormat="1" x14ac:dyDescent="0.25">
      <c r="A305" s="2" t="s">
        <v>111</v>
      </c>
      <c r="B305" s="4">
        <v>8.41</v>
      </c>
    </row>
    <row r="306" spans="1:2" s="1" customFormat="1" x14ac:dyDescent="0.25">
      <c r="A306" s="2" t="s">
        <v>110</v>
      </c>
      <c r="B306" s="4">
        <v>8.41</v>
      </c>
    </row>
    <row r="307" spans="1:2" s="1" customFormat="1" x14ac:dyDescent="0.25">
      <c r="A307" s="2" t="s">
        <v>431</v>
      </c>
      <c r="B307" s="4">
        <v>8.41</v>
      </c>
    </row>
    <row r="308" spans="1:2" s="1" customFormat="1" x14ac:dyDescent="0.25">
      <c r="A308" s="2" t="s">
        <v>142</v>
      </c>
      <c r="B308" s="4">
        <v>8.41</v>
      </c>
    </row>
    <row r="309" spans="1:2" s="1" customFormat="1" x14ac:dyDescent="0.25">
      <c r="A309" s="2" t="s">
        <v>432</v>
      </c>
      <c r="B309" s="4">
        <v>8.41</v>
      </c>
    </row>
    <row r="310" spans="1:2" s="1" customFormat="1" x14ac:dyDescent="0.25">
      <c r="A310" s="2" t="s">
        <v>433</v>
      </c>
      <c r="B310" s="4">
        <v>8.41</v>
      </c>
    </row>
    <row r="311" spans="1:2" s="1" customFormat="1" x14ac:dyDescent="0.25">
      <c r="A311" s="2" t="s">
        <v>81</v>
      </c>
      <c r="B311" s="4">
        <v>8.41</v>
      </c>
    </row>
    <row r="312" spans="1:2" s="1" customFormat="1" x14ac:dyDescent="0.25">
      <c r="A312" s="2" t="s">
        <v>434</v>
      </c>
      <c r="B312" s="4">
        <v>8.41</v>
      </c>
    </row>
    <row r="313" spans="1:2" s="1" customFormat="1" x14ac:dyDescent="0.25">
      <c r="A313" s="2" t="s">
        <v>435</v>
      </c>
      <c r="B313" s="4">
        <v>8.41</v>
      </c>
    </row>
    <row r="314" spans="1:2" s="1" customFormat="1" x14ac:dyDescent="0.25">
      <c r="A314" s="2" t="s">
        <v>436</v>
      </c>
      <c r="B314" s="4">
        <v>8.41</v>
      </c>
    </row>
    <row r="315" spans="1:2" s="1" customFormat="1" x14ac:dyDescent="0.25">
      <c r="A315" s="2" t="s">
        <v>437</v>
      </c>
      <c r="B315" s="4">
        <v>8.41</v>
      </c>
    </row>
    <row r="316" spans="1:2" s="1" customFormat="1" x14ac:dyDescent="0.25">
      <c r="A316" s="2" t="s">
        <v>438</v>
      </c>
      <c r="B316" s="4">
        <v>8.41</v>
      </c>
    </row>
    <row r="317" spans="1:2" s="1" customFormat="1" x14ac:dyDescent="0.25">
      <c r="A317" s="2" t="s">
        <v>65</v>
      </c>
      <c r="B317" s="4">
        <v>8.41</v>
      </c>
    </row>
    <row r="318" spans="1:2" s="1" customFormat="1" x14ac:dyDescent="0.25">
      <c r="A318" s="2" t="s">
        <v>439</v>
      </c>
      <c r="B318" s="4">
        <v>8.41</v>
      </c>
    </row>
    <row r="319" spans="1:2" s="1" customFormat="1" x14ac:dyDescent="0.25">
      <c r="A319" s="2" t="s">
        <v>440</v>
      </c>
      <c r="B319" s="4">
        <v>8.41</v>
      </c>
    </row>
    <row r="320" spans="1:2" s="1" customFormat="1" x14ac:dyDescent="0.25">
      <c r="A320" s="2" t="s">
        <v>109</v>
      </c>
      <c r="B320" s="4">
        <v>8.41</v>
      </c>
    </row>
    <row r="321" spans="1:2" s="1" customFormat="1" x14ac:dyDescent="0.25">
      <c r="A321" s="2" t="s">
        <v>441</v>
      </c>
      <c r="B321" s="4">
        <v>8.41</v>
      </c>
    </row>
    <row r="322" spans="1:2" s="1" customFormat="1" x14ac:dyDescent="0.25">
      <c r="A322" s="2" t="s">
        <v>442</v>
      </c>
      <c r="B322" s="4">
        <v>8.41</v>
      </c>
    </row>
    <row r="323" spans="1:2" s="1" customFormat="1" x14ac:dyDescent="0.25">
      <c r="A323" s="2" t="s">
        <v>443</v>
      </c>
      <c r="B323" s="4">
        <v>8.41</v>
      </c>
    </row>
    <row r="324" spans="1:2" s="1" customFormat="1" x14ac:dyDescent="0.25">
      <c r="A324" s="2" t="s">
        <v>444</v>
      </c>
      <c r="B324" s="4">
        <v>8.41</v>
      </c>
    </row>
    <row r="325" spans="1:2" s="1" customFormat="1" x14ac:dyDescent="0.25">
      <c r="A325" s="2" t="s">
        <v>445</v>
      </c>
      <c r="B325" s="4">
        <v>8.41</v>
      </c>
    </row>
    <row r="326" spans="1:2" s="1" customFormat="1" x14ac:dyDescent="0.25">
      <c r="A326" s="2" t="s">
        <v>446</v>
      </c>
      <c r="B326" s="4">
        <v>8.41</v>
      </c>
    </row>
    <row r="327" spans="1:2" s="1" customFormat="1" x14ac:dyDescent="0.25">
      <c r="A327" s="2" t="s">
        <v>447</v>
      </c>
      <c r="B327" s="4">
        <v>8.41</v>
      </c>
    </row>
    <row r="328" spans="1:2" s="1" customFormat="1" x14ac:dyDescent="0.25">
      <c r="A328" s="2" t="s">
        <v>448</v>
      </c>
      <c r="B328" s="4">
        <v>8.41</v>
      </c>
    </row>
    <row r="329" spans="1:2" s="1" customFormat="1" x14ac:dyDescent="0.25">
      <c r="A329" s="2" t="s">
        <v>449</v>
      </c>
      <c r="B329" s="4">
        <v>8.41</v>
      </c>
    </row>
    <row r="330" spans="1:2" s="1" customFormat="1" x14ac:dyDescent="0.25">
      <c r="A330" s="2" t="s">
        <v>450</v>
      </c>
      <c r="B330" s="4">
        <v>8.41</v>
      </c>
    </row>
    <row r="331" spans="1:2" s="1" customFormat="1" x14ac:dyDescent="0.25">
      <c r="A331" s="2" t="s">
        <v>451</v>
      </c>
      <c r="B331" s="4">
        <v>8.41</v>
      </c>
    </row>
    <row r="332" spans="1:2" s="1" customFormat="1" x14ac:dyDescent="0.25">
      <c r="A332" s="2" t="s">
        <v>452</v>
      </c>
      <c r="B332" s="4">
        <v>8.41</v>
      </c>
    </row>
    <row r="333" spans="1:2" s="1" customFormat="1" x14ac:dyDescent="0.25">
      <c r="A333" s="2" t="s">
        <v>453</v>
      </c>
      <c r="B333" s="4">
        <v>8.41</v>
      </c>
    </row>
    <row r="334" spans="1:2" s="1" customFormat="1" x14ac:dyDescent="0.25">
      <c r="A334" s="2" t="s">
        <v>454</v>
      </c>
      <c r="B334" s="4">
        <v>8.41</v>
      </c>
    </row>
    <row r="335" spans="1:2" s="1" customFormat="1" x14ac:dyDescent="0.25">
      <c r="A335" s="2" t="s">
        <v>108</v>
      </c>
      <c r="B335" s="4">
        <v>8.41</v>
      </c>
    </row>
    <row r="336" spans="1:2" s="1" customFormat="1" x14ac:dyDescent="0.25">
      <c r="A336" s="2" t="s">
        <v>107</v>
      </c>
      <c r="B336" s="4">
        <v>8.41</v>
      </c>
    </row>
    <row r="337" spans="1:2" s="1" customFormat="1" x14ac:dyDescent="0.25">
      <c r="A337" s="2" t="s">
        <v>455</v>
      </c>
      <c r="B337" s="4">
        <v>8.41</v>
      </c>
    </row>
    <row r="338" spans="1:2" s="1" customFormat="1" x14ac:dyDescent="0.25">
      <c r="A338" s="2" t="s">
        <v>456</v>
      </c>
      <c r="B338" s="4">
        <v>8.41</v>
      </c>
    </row>
    <row r="339" spans="1:2" s="1" customFormat="1" x14ac:dyDescent="0.25">
      <c r="A339" s="2" t="s">
        <v>457</v>
      </c>
      <c r="B339" s="4">
        <v>8.41</v>
      </c>
    </row>
    <row r="340" spans="1:2" s="1" customFormat="1" x14ac:dyDescent="0.25">
      <c r="A340" s="2" t="s">
        <v>163</v>
      </c>
      <c r="B340" s="4">
        <v>8.41</v>
      </c>
    </row>
    <row r="341" spans="1:2" s="1" customFormat="1" x14ac:dyDescent="0.25">
      <c r="A341" s="2" t="s">
        <v>458</v>
      </c>
      <c r="B341" s="4">
        <v>8.41</v>
      </c>
    </row>
    <row r="342" spans="1:2" s="1" customFormat="1" x14ac:dyDescent="0.25">
      <c r="A342" s="2" t="s">
        <v>459</v>
      </c>
      <c r="B342" s="4">
        <v>8.41</v>
      </c>
    </row>
    <row r="343" spans="1:2" s="1" customFormat="1" x14ac:dyDescent="0.25">
      <c r="A343" s="2" t="s">
        <v>460</v>
      </c>
      <c r="B343" s="4">
        <v>8.41</v>
      </c>
    </row>
    <row r="344" spans="1:2" s="1" customFormat="1" x14ac:dyDescent="0.25">
      <c r="A344" s="2" t="s">
        <v>461</v>
      </c>
      <c r="B344" s="4">
        <v>8.41</v>
      </c>
    </row>
    <row r="345" spans="1:2" s="1" customFormat="1" x14ac:dyDescent="0.25">
      <c r="A345" s="2" t="s">
        <v>462</v>
      </c>
      <c r="B345" s="4">
        <v>8.41</v>
      </c>
    </row>
    <row r="346" spans="1:2" s="1" customFormat="1" x14ac:dyDescent="0.25">
      <c r="A346" s="2" t="s">
        <v>463</v>
      </c>
      <c r="B346" s="4">
        <v>8.41</v>
      </c>
    </row>
    <row r="347" spans="1:2" s="1" customFormat="1" x14ac:dyDescent="0.25">
      <c r="A347" s="2" t="s">
        <v>464</v>
      </c>
      <c r="B347" s="4">
        <v>8.41</v>
      </c>
    </row>
    <row r="348" spans="1:2" s="1" customFormat="1" x14ac:dyDescent="0.25">
      <c r="A348" s="2" t="s">
        <v>465</v>
      </c>
      <c r="B348" s="4">
        <v>8.41</v>
      </c>
    </row>
    <row r="349" spans="1:2" s="1" customFormat="1" x14ac:dyDescent="0.25">
      <c r="A349" s="2" t="s">
        <v>466</v>
      </c>
      <c r="B349" s="4">
        <v>8.41</v>
      </c>
    </row>
    <row r="350" spans="1:2" s="1" customFormat="1" x14ac:dyDescent="0.25">
      <c r="A350" s="2" t="s">
        <v>78</v>
      </c>
      <c r="B350" s="4">
        <v>8.41</v>
      </c>
    </row>
    <row r="351" spans="1:2" s="1" customFormat="1" x14ac:dyDescent="0.25">
      <c r="A351" s="2" t="s">
        <v>467</v>
      </c>
      <c r="B351" s="4">
        <v>8.41</v>
      </c>
    </row>
    <row r="352" spans="1:2" s="1" customFormat="1" x14ac:dyDescent="0.25">
      <c r="A352" s="2" t="s">
        <v>468</v>
      </c>
      <c r="B352" s="4">
        <v>8.41</v>
      </c>
    </row>
    <row r="353" spans="1:2" s="1" customFormat="1" x14ac:dyDescent="0.25">
      <c r="A353" s="2" t="s">
        <v>469</v>
      </c>
      <c r="B353" s="4">
        <v>8.41</v>
      </c>
    </row>
    <row r="354" spans="1:2" s="1" customFormat="1" x14ac:dyDescent="0.25">
      <c r="A354" s="2" t="s">
        <v>470</v>
      </c>
      <c r="B354" s="4">
        <v>8.41</v>
      </c>
    </row>
    <row r="355" spans="1:2" s="1" customFormat="1" x14ac:dyDescent="0.25">
      <c r="A355" s="2" t="s">
        <v>471</v>
      </c>
      <c r="B355" s="4">
        <v>8.41</v>
      </c>
    </row>
    <row r="356" spans="1:2" s="1" customFormat="1" x14ac:dyDescent="0.25">
      <c r="A356" s="2" t="s">
        <v>472</v>
      </c>
      <c r="B356" s="4">
        <v>8.41</v>
      </c>
    </row>
    <row r="357" spans="1:2" s="1" customFormat="1" x14ac:dyDescent="0.25">
      <c r="A357" s="2" t="s">
        <v>473</v>
      </c>
      <c r="B357" s="4">
        <v>8.41</v>
      </c>
    </row>
    <row r="358" spans="1:2" s="1" customFormat="1" x14ac:dyDescent="0.25">
      <c r="A358" s="2" t="s">
        <v>474</v>
      </c>
      <c r="B358" s="4">
        <v>8.41</v>
      </c>
    </row>
    <row r="359" spans="1:2" s="1" customFormat="1" x14ac:dyDescent="0.25">
      <c r="A359" s="2" t="s">
        <v>475</v>
      </c>
      <c r="B359" s="4">
        <v>8.41</v>
      </c>
    </row>
    <row r="360" spans="1:2" s="1" customFormat="1" x14ac:dyDescent="0.25">
      <c r="A360" s="2" t="s">
        <v>476</v>
      </c>
      <c r="B360" s="4">
        <v>8.41</v>
      </c>
    </row>
    <row r="361" spans="1:2" s="1" customFormat="1" x14ac:dyDescent="0.25">
      <c r="A361" s="2" t="s">
        <v>477</v>
      </c>
      <c r="B361" s="4">
        <v>8.41</v>
      </c>
    </row>
    <row r="362" spans="1:2" s="1" customFormat="1" x14ac:dyDescent="0.25">
      <c r="A362" s="2" t="s">
        <v>478</v>
      </c>
      <c r="B362" s="4">
        <v>8.41</v>
      </c>
    </row>
    <row r="363" spans="1:2" s="1" customFormat="1" x14ac:dyDescent="0.25">
      <c r="A363" s="2" t="s">
        <v>106</v>
      </c>
      <c r="B363" s="4">
        <v>8.41</v>
      </c>
    </row>
    <row r="364" spans="1:2" s="1" customFormat="1" x14ac:dyDescent="0.25">
      <c r="A364" s="2" t="s">
        <v>105</v>
      </c>
      <c r="B364" s="4">
        <v>8.41</v>
      </c>
    </row>
    <row r="365" spans="1:2" s="1" customFormat="1" x14ac:dyDescent="0.25">
      <c r="A365" s="2" t="s">
        <v>104</v>
      </c>
      <c r="B365" s="4">
        <v>8.41</v>
      </c>
    </row>
    <row r="366" spans="1:2" s="1" customFormat="1" x14ac:dyDescent="0.25">
      <c r="A366" s="2" t="s">
        <v>101</v>
      </c>
      <c r="B366" s="4">
        <v>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6"/>
  <sheetFormatPr defaultRowHeight="15" outlineLevelRow="0" outlineLevelCol="0" x14ac:dyDescent="55"/>
  <cols>
    <col min="1" max="2" width="12" customWidth="1"/>
  </cols>
  <sheetData>
    <row r="1" spans="1:2" x14ac:dyDescent="0.25">
      <c r="A1" s="1" t="s">
        <v>66</v>
      </c>
      <c r="B1" s="1" t="s">
        <v>91</v>
      </c>
    </row>
    <row r="2" spans="1:2" s="1" customFormat="1" x14ac:dyDescent="0.25">
      <c r="A2" s="2" t="s">
        <v>133</v>
      </c>
      <c r="B2" s="4">
        <v>1.08</v>
      </c>
    </row>
    <row r="3" spans="1:2" s="1" customFormat="1" x14ac:dyDescent="0.25">
      <c r="A3" s="2" t="s">
        <v>136</v>
      </c>
      <c r="B3" s="4">
        <v>1.08</v>
      </c>
    </row>
    <row r="4" spans="1:2" s="1" customFormat="1" x14ac:dyDescent="0.25">
      <c r="A4" s="2" t="s">
        <v>193</v>
      </c>
      <c r="B4" s="4">
        <v>1.08</v>
      </c>
    </row>
    <row r="5" spans="1:2" s="1" customFormat="1" x14ac:dyDescent="0.25">
      <c r="A5" s="2" t="s">
        <v>194</v>
      </c>
      <c r="B5" s="4">
        <v>1.08</v>
      </c>
    </row>
    <row r="6" spans="1:2" s="1" customFormat="1" x14ac:dyDescent="0.25">
      <c r="A6" s="2" t="s">
        <v>195</v>
      </c>
      <c r="B6" s="4">
        <v>1.08</v>
      </c>
    </row>
    <row r="7" spans="1:2" s="1" customFormat="1" x14ac:dyDescent="0.25">
      <c r="A7" s="2" t="s">
        <v>143</v>
      </c>
      <c r="B7" s="4">
        <v>1.08</v>
      </c>
    </row>
    <row r="8" spans="1:2" s="1" customFormat="1" x14ac:dyDescent="0.25">
      <c r="A8" s="2" t="s">
        <v>196</v>
      </c>
      <c r="B8" s="4">
        <v>1.08</v>
      </c>
    </row>
    <row r="9" spans="1:2" s="1" customFormat="1" x14ac:dyDescent="0.25">
      <c r="A9" s="2" t="s">
        <v>197</v>
      </c>
      <c r="B9" s="4">
        <v>1.08</v>
      </c>
    </row>
    <row r="10" spans="1:2" s="1" customFormat="1" x14ac:dyDescent="0.25">
      <c r="A10" s="2" t="s">
        <v>198</v>
      </c>
      <c r="B10" s="4">
        <v>1.08</v>
      </c>
    </row>
    <row r="11" spans="1:2" s="1" customFormat="1" x14ac:dyDescent="0.25">
      <c r="A11" s="2" t="s">
        <v>199</v>
      </c>
      <c r="B11" s="4">
        <v>1.08</v>
      </c>
    </row>
    <row r="12" spans="1:2" s="1" customFormat="1" x14ac:dyDescent="0.25">
      <c r="A12" s="2" t="s">
        <v>200</v>
      </c>
      <c r="B12" s="4">
        <v>1.08</v>
      </c>
    </row>
    <row r="13" spans="1:2" s="1" customFormat="1" x14ac:dyDescent="0.25">
      <c r="A13" s="2" t="s">
        <v>201</v>
      </c>
      <c r="B13" s="4">
        <v>1.08</v>
      </c>
    </row>
    <row r="14" spans="1:2" s="1" customFormat="1" x14ac:dyDescent="0.25">
      <c r="A14" s="2" t="s">
        <v>202</v>
      </c>
      <c r="B14" s="4">
        <v>1.08</v>
      </c>
    </row>
    <row r="15" spans="1:2" s="1" customFormat="1" x14ac:dyDescent="0.25">
      <c r="A15" s="2" t="s">
        <v>40</v>
      </c>
      <c r="B15" s="4">
        <v>1.08</v>
      </c>
    </row>
    <row r="16" spans="1:2" s="1" customFormat="1" x14ac:dyDescent="0.25">
      <c r="A16" s="2" t="s">
        <v>47</v>
      </c>
      <c r="B16" s="4">
        <v>1.08</v>
      </c>
    </row>
    <row r="17" spans="1:2" s="1" customFormat="1" x14ac:dyDescent="0.25">
      <c r="A17" s="2" t="s">
        <v>203</v>
      </c>
      <c r="B17" s="4">
        <v>1.08</v>
      </c>
    </row>
    <row r="18" spans="1:2" s="1" customFormat="1" x14ac:dyDescent="0.25">
      <c r="A18" s="2" t="s">
        <v>204</v>
      </c>
      <c r="B18" s="4">
        <v>1.08</v>
      </c>
    </row>
    <row r="19" spans="1:2" s="1" customFormat="1" x14ac:dyDescent="0.25">
      <c r="A19" s="2" t="s">
        <v>205</v>
      </c>
      <c r="B19" s="4">
        <v>1.08</v>
      </c>
    </row>
    <row r="20" spans="1:2" s="1" customFormat="1" x14ac:dyDescent="0.25">
      <c r="A20" s="2" t="s">
        <v>206</v>
      </c>
      <c r="B20" s="4">
        <v>1.08</v>
      </c>
    </row>
    <row r="21" spans="1:2" s="1" customFormat="1" x14ac:dyDescent="0.25">
      <c r="A21" s="2" t="s">
        <v>207</v>
      </c>
      <c r="B21" s="4">
        <v>1.08</v>
      </c>
    </row>
    <row r="22" spans="1:2" s="1" customFormat="1" x14ac:dyDescent="0.25">
      <c r="A22" s="2" t="s">
        <v>208</v>
      </c>
      <c r="B22" s="4">
        <v>1.08</v>
      </c>
    </row>
    <row r="23" spans="1:2" s="1" customFormat="1" x14ac:dyDescent="0.25">
      <c r="A23" s="2" t="s">
        <v>209</v>
      </c>
      <c r="B23" s="4">
        <v>1.08</v>
      </c>
    </row>
    <row r="24" spans="1:2" s="1" customFormat="1" x14ac:dyDescent="0.25">
      <c r="A24" s="2" t="s">
        <v>210</v>
      </c>
      <c r="B24" s="4">
        <v>1.08</v>
      </c>
    </row>
    <row r="25" spans="1:2" s="1" customFormat="1" x14ac:dyDescent="0.25">
      <c r="A25" s="2" t="s">
        <v>211</v>
      </c>
      <c r="B25" s="4">
        <v>1.08</v>
      </c>
    </row>
    <row r="26" spans="1:2" s="1" customFormat="1" x14ac:dyDescent="0.25">
      <c r="A26" s="2" t="s">
        <v>212</v>
      </c>
      <c r="B26" s="4">
        <v>1.08</v>
      </c>
    </row>
    <row r="27" spans="1:2" s="1" customFormat="1" x14ac:dyDescent="0.25">
      <c r="A27" s="2" t="s">
        <v>213</v>
      </c>
      <c r="B27" s="4">
        <v>1.08</v>
      </c>
    </row>
    <row r="28" spans="1:2" s="1" customFormat="1" x14ac:dyDescent="0.25">
      <c r="A28" s="2" t="s">
        <v>214</v>
      </c>
      <c r="B28" s="4">
        <v>1.08</v>
      </c>
    </row>
    <row r="29" spans="1:2" s="1" customFormat="1" x14ac:dyDescent="0.25">
      <c r="A29" s="2" t="s">
        <v>215</v>
      </c>
      <c r="B29" s="4">
        <v>1.08</v>
      </c>
    </row>
    <row r="30" spans="1:2" s="1" customFormat="1" x14ac:dyDescent="0.25">
      <c r="A30" s="2" t="s">
        <v>216</v>
      </c>
      <c r="B30" s="4">
        <v>1.08</v>
      </c>
    </row>
    <row r="31" spans="1:2" s="1" customFormat="1" x14ac:dyDescent="0.25">
      <c r="A31" s="2" t="s">
        <v>217</v>
      </c>
      <c r="B31" s="4">
        <v>1.08</v>
      </c>
    </row>
    <row r="32" spans="1:2" s="1" customFormat="1" x14ac:dyDescent="0.25">
      <c r="A32" s="2" t="s">
        <v>132</v>
      </c>
      <c r="B32" s="4">
        <v>1.08</v>
      </c>
    </row>
    <row r="33" spans="1:2" s="1" customFormat="1" x14ac:dyDescent="0.25">
      <c r="A33" s="2" t="s">
        <v>131</v>
      </c>
      <c r="B33" s="4">
        <v>1.08</v>
      </c>
    </row>
    <row r="34" spans="1:2" s="1" customFormat="1" x14ac:dyDescent="0.25">
      <c r="A34" s="2" t="s">
        <v>218</v>
      </c>
      <c r="B34" s="4">
        <v>1.08</v>
      </c>
    </row>
    <row r="35" spans="1:2" s="1" customFormat="1" x14ac:dyDescent="0.25">
      <c r="A35" s="2" t="s">
        <v>138</v>
      </c>
      <c r="B35" s="4">
        <v>1.08</v>
      </c>
    </row>
    <row r="36" spans="1:2" s="1" customFormat="1" x14ac:dyDescent="0.25">
      <c r="A36" s="2" t="s">
        <v>219</v>
      </c>
      <c r="B36" s="4">
        <v>1.08</v>
      </c>
    </row>
    <row r="37" spans="1:2" s="1" customFormat="1" x14ac:dyDescent="0.25">
      <c r="A37" s="2" t="s">
        <v>39</v>
      </c>
      <c r="B37" s="4">
        <v>1.08</v>
      </c>
    </row>
    <row r="38" spans="1:2" s="1" customFormat="1" x14ac:dyDescent="0.25">
      <c r="A38" s="2" t="s">
        <v>220</v>
      </c>
      <c r="B38" s="4">
        <v>1.08</v>
      </c>
    </row>
    <row r="39" spans="1:2" s="1" customFormat="1" x14ac:dyDescent="0.25">
      <c r="A39" s="2" t="s">
        <v>221</v>
      </c>
      <c r="B39" s="4">
        <v>1.08</v>
      </c>
    </row>
    <row r="40" spans="1:2" s="1" customFormat="1" x14ac:dyDescent="0.25">
      <c r="A40" s="2" t="s">
        <v>222</v>
      </c>
      <c r="B40" s="4">
        <v>1.08</v>
      </c>
    </row>
    <row r="41" spans="1:2" s="1" customFormat="1" x14ac:dyDescent="0.25">
      <c r="A41" s="2" t="s">
        <v>223</v>
      </c>
      <c r="B41" s="4">
        <v>1.08</v>
      </c>
    </row>
    <row r="42" spans="1:2" s="1" customFormat="1" x14ac:dyDescent="0.25">
      <c r="A42" s="2" t="s">
        <v>96</v>
      </c>
      <c r="B42" s="4">
        <v>1.08</v>
      </c>
    </row>
    <row r="43" spans="1:2" s="1" customFormat="1" x14ac:dyDescent="0.25">
      <c r="A43" s="2" t="s">
        <v>97</v>
      </c>
      <c r="B43" s="4">
        <v>1.08</v>
      </c>
    </row>
    <row r="44" spans="1:2" s="1" customFormat="1" x14ac:dyDescent="0.25">
      <c r="A44" s="2" t="s">
        <v>224</v>
      </c>
      <c r="B44" s="4">
        <v>1.08</v>
      </c>
    </row>
    <row r="45" spans="1:2" s="1" customFormat="1" x14ac:dyDescent="0.25">
      <c r="A45" s="2" t="s">
        <v>225</v>
      </c>
      <c r="B45" s="4">
        <v>1.08</v>
      </c>
    </row>
    <row r="46" spans="1:2" s="1" customFormat="1" x14ac:dyDescent="0.25">
      <c r="A46" s="2" t="s">
        <v>226</v>
      </c>
      <c r="B46" s="4">
        <v>1.08</v>
      </c>
    </row>
    <row r="47" spans="1:2" s="1" customFormat="1" x14ac:dyDescent="0.25">
      <c r="A47" s="2" t="s">
        <v>130</v>
      </c>
      <c r="B47" s="4">
        <v>1.08</v>
      </c>
    </row>
    <row r="48" spans="1:2" s="1" customFormat="1" x14ac:dyDescent="0.25">
      <c r="A48" s="2" t="s">
        <v>227</v>
      </c>
      <c r="B48" s="4">
        <v>1.08</v>
      </c>
    </row>
    <row r="49" spans="1:2" s="1" customFormat="1" x14ac:dyDescent="0.25">
      <c r="A49" s="2" t="s">
        <v>228</v>
      </c>
      <c r="B49" s="4">
        <v>1.08</v>
      </c>
    </row>
    <row r="50" spans="1:2" s="1" customFormat="1" x14ac:dyDescent="0.25">
      <c r="A50" s="2" t="s">
        <v>229</v>
      </c>
      <c r="B50" s="4">
        <v>1.08</v>
      </c>
    </row>
    <row r="51" spans="1:2" s="1" customFormat="1" x14ac:dyDescent="0.25">
      <c r="A51" s="2" t="s">
        <v>230</v>
      </c>
      <c r="B51" s="4">
        <v>1.08</v>
      </c>
    </row>
    <row r="52" spans="1:2" s="1" customFormat="1" x14ac:dyDescent="0.25">
      <c r="A52" s="2" t="s">
        <v>231</v>
      </c>
      <c r="B52" s="4">
        <v>1.08</v>
      </c>
    </row>
    <row r="53" spans="1:2" s="1" customFormat="1" x14ac:dyDescent="0.25">
      <c r="A53" s="2" t="s">
        <v>232</v>
      </c>
      <c r="B53" s="4">
        <v>1.08</v>
      </c>
    </row>
    <row r="54" spans="1:2" s="1" customFormat="1" x14ac:dyDescent="0.25">
      <c r="A54" s="2" t="s">
        <v>233</v>
      </c>
      <c r="B54" s="4">
        <v>1.08</v>
      </c>
    </row>
    <row r="55" spans="1:2" s="1" customFormat="1" x14ac:dyDescent="0.25">
      <c r="A55" s="2" t="s">
        <v>234</v>
      </c>
      <c r="B55" s="4">
        <v>1.08</v>
      </c>
    </row>
    <row r="56" spans="1:2" s="1" customFormat="1" x14ac:dyDescent="0.25">
      <c r="A56" s="2" t="s">
        <v>235</v>
      </c>
      <c r="B56" s="4">
        <v>1.08</v>
      </c>
    </row>
    <row r="57" spans="1:2" s="1" customFormat="1" x14ac:dyDescent="0.25">
      <c r="A57" s="2" t="s">
        <v>236</v>
      </c>
      <c r="B57" s="4">
        <v>1.08</v>
      </c>
    </row>
    <row r="58" spans="1:2" s="1" customFormat="1" x14ac:dyDescent="0.25">
      <c r="A58" s="2" t="s">
        <v>237</v>
      </c>
      <c r="B58" s="4">
        <v>1.08</v>
      </c>
    </row>
    <row r="59" spans="1:2" s="1" customFormat="1" x14ac:dyDescent="0.25">
      <c r="A59" s="2" t="s">
        <v>238</v>
      </c>
      <c r="B59" s="4">
        <v>1.08</v>
      </c>
    </row>
    <row r="60" spans="1:2" s="1" customFormat="1" x14ac:dyDescent="0.25">
      <c r="A60" s="2" t="s">
        <v>129</v>
      </c>
      <c r="B60" s="4">
        <v>1.08</v>
      </c>
    </row>
    <row r="61" spans="1:2" s="1" customFormat="1" x14ac:dyDescent="0.25">
      <c r="A61" s="2" t="s">
        <v>128</v>
      </c>
      <c r="B61" s="4">
        <v>1.08</v>
      </c>
    </row>
    <row r="62" spans="1:2" s="1" customFormat="1" x14ac:dyDescent="0.25">
      <c r="A62" s="2" t="s">
        <v>239</v>
      </c>
      <c r="B62" s="4">
        <v>1.08</v>
      </c>
    </row>
    <row r="63" spans="1:2" s="1" customFormat="1" x14ac:dyDescent="0.25">
      <c r="A63" s="2" t="s">
        <v>139</v>
      </c>
      <c r="B63" s="4">
        <v>1.08</v>
      </c>
    </row>
    <row r="64" spans="1:2" s="1" customFormat="1" x14ac:dyDescent="0.25">
      <c r="A64" s="2" t="s">
        <v>240</v>
      </c>
      <c r="B64" s="4">
        <v>1.08</v>
      </c>
    </row>
    <row r="65" spans="1:2" s="1" customFormat="1" x14ac:dyDescent="0.25">
      <c r="A65" s="2" t="s">
        <v>241</v>
      </c>
      <c r="B65" s="4">
        <v>1.08</v>
      </c>
    </row>
    <row r="66" spans="1:2" s="1" customFormat="1" x14ac:dyDescent="0.25">
      <c r="A66" s="2" t="s">
        <v>146</v>
      </c>
      <c r="B66" s="4">
        <v>1.08</v>
      </c>
    </row>
    <row r="67" spans="1:2" s="1" customFormat="1" x14ac:dyDescent="0.25">
      <c r="A67" s="2" t="s">
        <v>242</v>
      </c>
      <c r="B67" s="4">
        <v>1.08</v>
      </c>
    </row>
    <row r="68" spans="1:2" s="1" customFormat="1" x14ac:dyDescent="0.25">
      <c r="A68" s="2" t="s">
        <v>243</v>
      </c>
      <c r="B68" s="4">
        <v>1.08</v>
      </c>
    </row>
    <row r="69" spans="1:2" s="1" customFormat="1" x14ac:dyDescent="0.25">
      <c r="A69" s="2" t="s">
        <v>244</v>
      </c>
      <c r="B69" s="4">
        <v>1.08</v>
      </c>
    </row>
    <row r="70" spans="1:2" s="1" customFormat="1" x14ac:dyDescent="0.25">
      <c r="A70" s="2" t="s">
        <v>245</v>
      </c>
      <c r="B70" s="4">
        <v>1.08</v>
      </c>
    </row>
    <row r="71" spans="1:2" s="1" customFormat="1" x14ac:dyDescent="0.25">
      <c r="A71" s="2" t="s">
        <v>246</v>
      </c>
      <c r="B71" s="4">
        <v>1.08</v>
      </c>
    </row>
    <row r="72" spans="1:2" s="1" customFormat="1" x14ac:dyDescent="0.25">
      <c r="A72" s="2" t="s">
        <v>247</v>
      </c>
      <c r="B72" s="4">
        <v>1.08</v>
      </c>
    </row>
    <row r="73" spans="1:2" s="1" customFormat="1" x14ac:dyDescent="0.25">
      <c r="A73" s="2" t="s">
        <v>248</v>
      </c>
      <c r="B73" s="4">
        <v>1.08</v>
      </c>
    </row>
    <row r="74" spans="1:2" s="1" customFormat="1" x14ac:dyDescent="0.25">
      <c r="A74" s="2" t="s">
        <v>84</v>
      </c>
      <c r="B74" s="4">
        <v>1.08</v>
      </c>
    </row>
    <row r="75" spans="1:2" s="1" customFormat="1" x14ac:dyDescent="0.25">
      <c r="A75" s="2" t="s">
        <v>75</v>
      </c>
      <c r="B75" s="4">
        <v>1.08</v>
      </c>
    </row>
    <row r="76" spans="1:2" s="1" customFormat="1" x14ac:dyDescent="0.25">
      <c r="A76" s="2" t="s">
        <v>93</v>
      </c>
      <c r="B76" s="4">
        <v>1.08</v>
      </c>
    </row>
    <row r="77" spans="1:2" s="1" customFormat="1" x14ac:dyDescent="0.25">
      <c r="A77" s="2" t="s">
        <v>94</v>
      </c>
      <c r="B77" s="4">
        <v>1.08</v>
      </c>
    </row>
    <row r="78" spans="1:2" s="1" customFormat="1" x14ac:dyDescent="0.25">
      <c r="A78" s="2" t="s">
        <v>249</v>
      </c>
      <c r="B78" s="4">
        <v>1.08</v>
      </c>
    </row>
    <row r="79" spans="1:2" s="1" customFormat="1" x14ac:dyDescent="0.25">
      <c r="A79" s="2" t="s">
        <v>250</v>
      </c>
      <c r="B79" s="4">
        <v>1.08</v>
      </c>
    </row>
    <row r="80" spans="1:2" s="1" customFormat="1" x14ac:dyDescent="0.25">
      <c r="A80" s="2" t="s">
        <v>251</v>
      </c>
      <c r="B80" s="4">
        <v>1.08</v>
      </c>
    </row>
    <row r="81" spans="1:2" s="1" customFormat="1" x14ac:dyDescent="0.25">
      <c r="A81" s="2" t="s">
        <v>252</v>
      </c>
      <c r="B81" s="4">
        <v>1.08</v>
      </c>
    </row>
    <row r="82" spans="1:2" s="1" customFormat="1" x14ac:dyDescent="0.25">
      <c r="A82" s="2" t="s">
        <v>253</v>
      </c>
      <c r="B82" s="4">
        <v>1.08</v>
      </c>
    </row>
    <row r="83" spans="1:2" s="1" customFormat="1" x14ac:dyDescent="0.25">
      <c r="A83" s="2" t="s">
        <v>254</v>
      </c>
      <c r="B83" s="4">
        <v>1.08</v>
      </c>
    </row>
    <row r="84" spans="1:2" s="1" customFormat="1" x14ac:dyDescent="0.25">
      <c r="A84" s="2" t="s">
        <v>255</v>
      </c>
      <c r="B84" s="4">
        <v>1.08</v>
      </c>
    </row>
    <row r="85" spans="1:2" s="1" customFormat="1" x14ac:dyDescent="0.25">
      <c r="A85" s="2" t="s">
        <v>256</v>
      </c>
      <c r="B85" s="4">
        <v>1.08</v>
      </c>
    </row>
    <row r="86" spans="1:2" s="1" customFormat="1" x14ac:dyDescent="0.25">
      <c r="A86" s="2" t="s">
        <v>257</v>
      </c>
      <c r="B86" s="4">
        <v>1.08</v>
      </c>
    </row>
    <row r="87" spans="1:2" s="1" customFormat="1" x14ac:dyDescent="0.25">
      <c r="A87" s="2" t="s">
        <v>258</v>
      </c>
      <c r="B87" s="4">
        <v>1.08</v>
      </c>
    </row>
    <row r="88" spans="1:2" s="1" customFormat="1" x14ac:dyDescent="0.25">
      <c r="A88" s="2" t="s">
        <v>259</v>
      </c>
      <c r="B88" s="4">
        <v>1.08</v>
      </c>
    </row>
    <row r="89" spans="1:2" s="1" customFormat="1" x14ac:dyDescent="0.25">
      <c r="A89" s="2" t="s">
        <v>260</v>
      </c>
      <c r="B89" s="4">
        <v>1.08</v>
      </c>
    </row>
    <row r="90" spans="1:2" s="1" customFormat="1" x14ac:dyDescent="0.25">
      <c r="A90" s="2" t="s">
        <v>261</v>
      </c>
      <c r="B90" s="4">
        <v>1.08</v>
      </c>
    </row>
    <row r="91" spans="1:2" s="1" customFormat="1" x14ac:dyDescent="0.25">
      <c r="A91" s="2" t="s">
        <v>127</v>
      </c>
      <c r="B91" s="4">
        <v>1.08</v>
      </c>
    </row>
    <row r="92" spans="1:2" s="1" customFormat="1" x14ac:dyDescent="0.25">
      <c r="A92" s="2" t="s">
        <v>126</v>
      </c>
      <c r="B92" s="4">
        <v>1.08</v>
      </c>
    </row>
    <row r="93" spans="1:2" s="1" customFormat="1" x14ac:dyDescent="0.25">
      <c r="A93" s="2" t="s">
        <v>262</v>
      </c>
      <c r="B93" s="4">
        <v>1.08</v>
      </c>
    </row>
    <row r="94" spans="1:2" s="1" customFormat="1" x14ac:dyDescent="0.25">
      <c r="A94" s="2" t="s">
        <v>49</v>
      </c>
      <c r="B94" s="4">
        <v>1.08</v>
      </c>
    </row>
    <row r="95" spans="1:2" s="1" customFormat="1" x14ac:dyDescent="0.25">
      <c r="A95" s="2" t="s">
        <v>148</v>
      </c>
      <c r="B95" s="4">
        <v>1.08</v>
      </c>
    </row>
    <row r="96" spans="1:2" s="1" customFormat="1" x14ac:dyDescent="0.25">
      <c r="A96" s="2" t="s">
        <v>263</v>
      </c>
      <c r="B96" s="4">
        <v>1.08</v>
      </c>
    </row>
    <row r="97" spans="1:2" s="1" customFormat="1" x14ac:dyDescent="0.25">
      <c r="A97" s="2" t="s">
        <v>264</v>
      </c>
      <c r="B97" s="4">
        <v>1.08</v>
      </c>
    </row>
    <row r="98" spans="1:2" s="1" customFormat="1" x14ac:dyDescent="0.25">
      <c r="A98" s="2" t="s">
        <v>265</v>
      </c>
      <c r="B98" s="4">
        <v>1.08</v>
      </c>
    </row>
    <row r="99" spans="1:2" s="1" customFormat="1" x14ac:dyDescent="0.25">
      <c r="A99" s="2" t="s">
        <v>266</v>
      </c>
      <c r="B99" s="4">
        <v>1.08</v>
      </c>
    </row>
    <row r="100" spans="1:2" s="1" customFormat="1" x14ac:dyDescent="0.25">
      <c r="A100" s="2" t="s">
        <v>267</v>
      </c>
      <c r="B100" s="4">
        <v>1.08</v>
      </c>
    </row>
    <row r="101" spans="1:2" s="1" customFormat="1" x14ac:dyDescent="0.25">
      <c r="A101" s="2" t="s">
        <v>268</v>
      </c>
      <c r="B101" s="4">
        <v>1.08</v>
      </c>
    </row>
    <row r="102" spans="1:2" s="1" customFormat="1" x14ac:dyDescent="0.25">
      <c r="A102" s="2" t="s">
        <v>269</v>
      </c>
      <c r="B102" s="4">
        <v>1.08</v>
      </c>
    </row>
    <row r="103" spans="1:2" s="1" customFormat="1" x14ac:dyDescent="0.25">
      <c r="A103" s="2" t="s">
        <v>270</v>
      </c>
      <c r="B103" s="4">
        <v>1.08</v>
      </c>
    </row>
    <row r="104" spans="1:2" s="1" customFormat="1" x14ac:dyDescent="0.25">
      <c r="A104" s="2" t="s">
        <v>271</v>
      </c>
      <c r="B104" s="4">
        <v>1.08</v>
      </c>
    </row>
    <row r="105" spans="1:2" s="1" customFormat="1" x14ac:dyDescent="0.25">
      <c r="A105" s="2" t="s">
        <v>272</v>
      </c>
      <c r="B105" s="4">
        <v>1.08</v>
      </c>
    </row>
    <row r="106" spans="1:2" s="1" customFormat="1" x14ac:dyDescent="0.25">
      <c r="A106" s="2" t="s">
        <v>125</v>
      </c>
      <c r="B106" s="4">
        <v>1.08</v>
      </c>
    </row>
    <row r="107" spans="1:2" s="1" customFormat="1" x14ac:dyDescent="0.25">
      <c r="A107" s="2" t="s">
        <v>273</v>
      </c>
      <c r="B107" s="4">
        <v>1.08</v>
      </c>
    </row>
    <row r="108" spans="1:2" s="1" customFormat="1" x14ac:dyDescent="0.25">
      <c r="A108" s="2" t="s">
        <v>87</v>
      </c>
      <c r="B108" s="4">
        <v>1.08</v>
      </c>
    </row>
    <row r="109" spans="1:2" s="1" customFormat="1" x14ac:dyDescent="0.25">
      <c r="A109" s="2" t="s">
        <v>274</v>
      </c>
      <c r="B109" s="4">
        <v>1.08</v>
      </c>
    </row>
    <row r="110" spans="1:2" s="1" customFormat="1" x14ac:dyDescent="0.25">
      <c r="A110" s="2" t="s">
        <v>275</v>
      </c>
      <c r="B110" s="4">
        <v>1.08</v>
      </c>
    </row>
    <row r="111" spans="1:2" s="1" customFormat="1" x14ac:dyDescent="0.25">
      <c r="A111" s="2" t="s">
        <v>276</v>
      </c>
      <c r="B111" s="4">
        <v>1.08</v>
      </c>
    </row>
    <row r="112" spans="1:2" s="1" customFormat="1" x14ac:dyDescent="0.25">
      <c r="A112" s="2" t="s">
        <v>277</v>
      </c>
      <c r="B112" s="4">
        <v>1.08</v>
      </c>
    </row>
    <row r="113" spans="1:2" s="1" customFormat="1" x14ac:dyDescent="0.25">
      <c r="A113" s="2" t="s">
        <v>278</v>
      </c>
      <c r="B113" s="4">
        <v>1.08</v>
      </c>
    </row>
    <row r="114" spans="1:2" s="1" customFormat="1" x14ac:dyDescent="0.25">
      <c r="A114" s="2" t="s">
        <v>82</v>
      </c>
      <c r="B114" s="4">
        <v>1.08</v>
      </c>
    </row>
    <row r="115" spans="1:2" s="1" customFormat="1" x14ac:dyDescent="0.25">
      <c r="A115" s="2" t="s">
        <v>279</v>
      </c>
      <c r="B115" s="4">
        <v>1.08</v>
      </c>
    </row>
    <row r="116" spans="1:2" s="1" customFormat="1" x14ac:dyDescent="0.25">
      <c r="A116" s="2" t="s">
        <v>280</v>
      </c>
      <c r="B116" s="4">
        <v>1.08</v>
      </c>
    </row>
    <row r="117" spans="1:2" s="1" customFormat="1" x14ac:dyDescent="0.25">
      <c r="A117" s="2" t="s">
        <v>281</v>
      </c>
      <c r="B117" s="4">
        <v>1.08</v>
      </c>
    </row>
    <row r="118" spans="1:2" s="1" customFormat="1" x14ac:dyDescent="0.25">
      <c r="A118" s="2" t="s">
        <v>282</v>
      </c>
      <c r="B118" s="4">
        <v>1.08</v>
      </c>
    </row>
    <row r="119" spans="1:2" s="1" customFormat="1" x14ac:dyDescent="0.25">
      <c r="A119" s="2" t="s">
        <v>283</v>
      </c>
      <c r="B119" s="4">
        <v>1.08</v>
      </c>
    </row>
    <row r="120" spans="1:2" s="1" customFormat="1" x14ac:dyDescent="0.25">
      <c r="A120" s="2" t="s">
        <v>284</v>
      </c>
      <c r="B120" s="4">
        <v>1.08</v>
      </c>
    </row>
    <row r="121" spans="1:2" s="1" customFormat="1" x14ac:dyDescent="0.25">
      <c r="A121" s="2" t="s">
        <v>124</v>
      </c>
      <c r="B121" s="4">
        <v>1.08</v>
      </c>
    </row>
    <row r="122" spans="1:2" s="1" customFormat="1" x14ac:dyDescent="0.25">
      <c r="A122" s="2" t="s">
        <v>123</v>
      </c>
      <c r="B122" s="4">
        <v>1.08</v>
      </c>
    </row>
    <row r="123" spans="1:2" s="1" customFormat="1" x14ac:dyDescent="0.25">
      <c r="A123" s="2" t="s">
        <v>285</v>
      </c>
      <c r="B123" s="4">
        <v>1.08</v>
      </c>
    </row>
    <row r="124" spans="1:2" s="1" customFormat="1" x14ac:dyDescent="0.25">
      <c r="A124" s="2" t="s">
        <v>286</v>
      </c>
      <c r="B124" s="4">
        <v>1.08</v>
      </c>
    </row>
    <row r="125" spans="1:2" s="1" customFormat="1" x14ac:dyDescent="0.25">
      <c r="A125" s="2" t="s">
        <v>287</v>
      </c>
      <c r="B125" s="4">
        <v>1.08</v>
      </c>
    </row>
    <row r="126" spans="1:2" s="1" customFormat="1" x14ac:dyDescent="0.25">
      <c r="A126" s="2" t="s">
        <v>288</v>
      </c>
      <c r="B126" s="4">
        <v>1.08</v>
      </c>
    </row>
    <row r="127" spans="1:2" s="1" customFormat="1" x14ac:dyDescent="0.25">
      <c r="A127" s="2" t="s">
        <v>150</v>
      </c>
      <c r="B127" s="4">
        <v>1.08</v>
      </c>
    </row>
    <row r="128" spans="1:2" s="1" customFormat="1" x14ac:dyDescent="0.25">
      <c r="A128" s="2" t="s">
        <v>41</v>
      </c>
      <c r="B128" s="4">
        <v>1.08</v>
      </c>
    </row>
    <row r="129" spans="1:2" s="1" customFormat="1" x14ac:dyDescent="0.25">
      <c r="A129" s="2" t="s">
        <v>79</v>
      </c>
      <c r="B129" s="4">
        <v>1.08</v>
      </c>
    </row>
    <row r="130" spans="1:2" s="1" customFormat="1" x14ac:dyDescent="0.25">
      <c r="A130" s="2" t="s">
        <v>289</v>
      </c>
      <c r="B130" s="4">
        <v>1.08</v>
      </c>
    </row>
    <row r="131" spans="1:2" s="1" customFormat="1" x14ac:dyDescent="0.25">
      <c r="A131" s="2" t="s">
        <v>290</v>
      </c>
      <c r="B131" s="4">
        <v>1.08</v>
      </c>
    </row>
    <row r="132" spans="1:2" s="1" customFormat="1" x14ac:dyDescent="0.25">
      <c r="A132" s="2" t="s">
        <v>291</v>
      </c>
      <c r="B132" s="4">
        <v>1.08</v>
      </c>
    </row>
    <row r="133" spans="1:2" s="1" customFormat="1" x14ac:dyDescent="0.25">
      <c r="A133" s="2" t="s">
        <v>292</v>
      </c>
      <c r="B133" s="4">
        <v>1.08</v>
      </c>
    </row>
    <row r="134" spans="1:2" s="1" customFormat="1" x14ac:dyDescent="0.25">
      <c r="A134" s="2" t="s">
        <v>293</v>
      </c>
      <c r="B134" s="4">
        <v>1.08</v>
      </c>
    </row>
    <row r="135" spans="1:2" s="1" customFormat="1" x14ac:dyDescent="0.25">
      <c r="A135" s="2" t="s">
        <v>294</v>
      </c>
      <c r="B135" s="4">
        <v>1.08</v>
      </c>
    </row>
    <row r="136" spans="1:2" s="1" customFormat="1" x14ac:dyDescent="0.25">
      <c r="A136" s="2" t="s">
        <v>135</v>
      </c>
      <c r="B136" s="4">
        <v>1.08</v>
      </c>
    </row>
    <row r="137" spans="1:2" s="1" customFormat="1" x14ac:dyDescent="0.25">
      <c r="A137" s="2" t="s">
        <v>295</v>
      </c>
      <c r="B137" s="4">
        <v>1.08</v>
      </c>
    </row>
    <row r="138" spans="1:2" s="1" customFormat="1" x14ac:dyDescent="0.25">
      <c r="A138" s="2" t="s">
        <v>296</v>
      </c>
      <c r="B138" s="4">
        <v>1.08</v>
      </c>
    </row>
    <row r="139" spans="1:2" s="1" customFormat="1" x14ac:dyDescent="0.25">
      <c r="A139" s="2" t="s">
        <v>297</v>
      </c>
      <c r="B139" s="4">
        <v>1.08</v>
      </c>
    </row>
    <row r="140" spans="1:2" s="1" customFormat="1" x14ac:dyDescent="0.25">
      <c r="A140" s="2" t="s">
        <v>298</v>
      </c>
      <c r="B140" s="4">
        <v>1.08</v>
      </c>
    </row>
    <row r="141" spans="1:2" s="1" customFormat="1" x14ac:dyDescent="0.25">
      <c r="A141" s="2" t="s">
        <v>299</v>
      </c>
      <c r="B141" s="4">
        <v>1.08</v>
      </c>
    </row>
    <row r="142" spans="1:2" s="1" customFormat="1" x14ac:dyDescent="0.25">
      <c r="A142" s="2" t="s">
        <v>300</v>
      </c>
      <c r="B142" s="4">
        <v>1.08</v>
      </c>
    </row>
    <row r="143" spans="1:2" s="1" customFormat="1" x14ac:dyDescent="0.25">
      <c r="A143" s="2" t="s">
        <v>301</v>
      </c>
      <c r="B143" s="4">
        <v>1.08</v>
      </c>
    </row>
    <row r="144" spans="1:2" s="1" customFormat="1" x14ac:dyDescent="0.25">
      <c r="A144" s="2" t="s">
        <v>302</v>
      </c>
      <c r="B144" s="4">
        <v>1.08</v>
      </c>
    </row>
    <row r="145" spans="1:2" s="1" customFormat="1" x14ac:dyDescent="0.25">
      <c r="A145" s="2" t="s">
        <v>303</v>
      </c>
      <c r="B145" s="4">
        <v>1.08</v>
      </c>
    </row>
    <row r="146" spans="1:2" s="1" customFormat="1" x14ac:dyDescent="0.25">
      <c r="A146" s="2" t="s">
        <v>304</v>
      </c>
      <c r="B146" s="4">
        <v>1.08</v>
      </c>
    </row>
    <row r="147" spans="1:2" s="1" customFormat="1" x14ac:dyDescent="0.25">
      <c r="A147" s="2" t="s">
        <v>305</v>
      </c>
      <c r="B147" s="4">
        <v>1.08</v>
      </c>
    </row>
    <row r="148" spans="1:2" s="1" customFormat="1" x14ac:dyDescent="0.25">
      <c r="A148" s="2" t="s">
        <v>306</v>
      </c>
      <c r="B148" s="4">
        <v>1.08</v>
      </c>
    </row>
    <row r="149" spans="1:2" s="1" customFormat="1" x14ac:dyDescent="0.25">
      <c r="A149" s="2" t="s">
        <v>307</v>
      </c>
      <c r="B149" s="4">
        <v>1.08</v>
      </c>
    </row>
    <row r="150" spans="1:2" s="1" customFormat="1" x14ac:dyDescent="0.25">
      <c r="A150" s="2" t="s">
        <v>308</v>
      </c>
      <c r="B150" s="4">
        <v>1.08</v>
      </c>
    </row>
    <row r="151" spans="1:2" s="1" customFormat="1" x14ac:dyDescent="0.25">
      <c r="A151" s="2" t="s">
        <v>309</v>
      </c>
      <c r="B151" s="4">
        <v>1.08</v>
      </c>
    </row>
    <row r="152" spans="1:2" s="1" customFormat="1" x14ac:dyDescent="0.25">
      <c r="A152" s="2" t="s">
        <v>134</v>
      </c>
      <c r="B152" s="4">
        <v>1.08</v>
      </c>
    </row>
    <row r="153" spans="1:2" s="1" customFormat="1" x14ac:dyDescent="0.25">
      <c r="A153" s="2" t="s">
        <v>122</v>
      </c>
      <c r="B153" s="4">
        <v>1.08</v>
      </c>
    </row>
    <row r="154" spans="1:2" s="1" customFormat="1" x14ac:dyDescent="0.25">
      <c r="A154" s="2" t="s">
        <v>140</v>
      </c>
      <c r="B154" s="4">
        <v>1.08</v>
      </c>
    </row>
    <row r="155" spans="1:2" s="1" customFormat="1" x14ac:dyDescent="0.25">
      <c r="A155" s="2" t="s">
        <v>310</v>
      </c>
      <c r="B155" s="4">
        <v>1.08</v>
      </c>
    </row>
    <row r="156" spans="1:2" s="1" customFormat="1" x14ac:dyDescent="0.25">
      <c r="A156" s="2" t="s">
        <v>311</v>
      </c>
      <c r="B156" s="4">
        <v>1.08</v>
      </c>
    </row>
    <row r="157" spans="1:2" s="1" customFormat="1" x14ac:dyDescent="0.25">
      <c r="A157" s="2" t="s">
        <v>152</v>
      </c>
      <c r="B157" s="4">
        <v>1.08</v>
      </c>
    </row>
    <row r="158" spans="1:2" s="1" customFormat="1" x14ac:dyDescent="0.25">
      <c r="A158" s="2" t="s">
        <v>312</v>
      </c>
      <c r="B158" s="4">
        <v>1.08</v>
      </c>
    </row>
    <row r="159" spans="1:2" s="1" customFormat="1" x14ac:dyDescent="0.25">
      <c r="A159" s="2" t="s">
        <v>313</v>
      </c>
      <c r="B159" s="4">
        <v>1.08</v>
      </c>
    </row>
    <row r="160" spans="1:2" s="1" customFormat="1" x14ac:dyDescent="0.25">
      <c r="A160" s="2" t="s">
        <v>314</v>
      </c>
      <c r="B160" s="4">
        <v>1.08</v>
      </c>
    </row>
    <row r="161" spans="1:2" s="1" customFormat="1" x14ac:dyDescent="0.25">
      <c r="A161" s="2" t="s">
        <v>315</v>
      </c>
      <c r="B161" s="4">
        <v>1.08</v>
      </c>
    </row>
    <row r="162" spans="1:2" s="1" customFormat="1" x14ac:dyDescent="0.25">
      <c r="A162" s="2" t="s">
        <v>316</v>
      </c>
      <c r="B162" s="4">
        <v>1.08</v>
      </c>
    </row>
    <row r="163" spans="1:2" s="1" customFormat="1" x14ac:dyDescent="0.25">
      <c r="A163" s="2" t="s">
        <v>45</v>
      </c>
      <c r="B163" s="4">
        <v>1.08</v>
      </c>
    </row>
    <row r="164" spans="1:2" s="1" customFormat="1" x14ac:dyDescent="0.25">
      <c r="A164" s="2" t="s">
        <v>317</v>
      </c>
      <c r="B164" s="4">
        <v>1.08</v>
      </c>
    </row>
    <row r="165" spans="1:2" s="1" customFormat="1" x14ac:dyDescent="0.25">
      <c r="A165" s="2" t="s">
        <v>85</v>
      </c>
      <c r="B165" s="4">
        <v>1.08</v>
      </c>
    </row>
    <row r="166" spans="1:2" s="1" customFormat="1" x14ac:dyDescent="0.25">
      <c r="A166" s="2" t="s">
        <v>318</v>
      </c>
      <c r="B166" s="4">
        <v>1.08</v>
      </c>
    </row>
    <row r="167" spans="1:2" s="1" customFormat="1" x14ac:dyDescent="0.25">
      <c r="A167" s="2" t="s">
        <v>76</v>
      </c>
      <c r="B167" s="4">
        <v>1.08</v>
      </c>
    </row>
    <row r="168" spans="1:2" s="1" customFormat="1" x14ac:dyDescent="0.25">
      <c r="A168" s="2" t="s">
        <v>319</v>
      </c>
      <c r="B168" s="4">
        <v>1.08</v>
      </c>
    </row>
    <row r="169" spans="1:2" s="1" customFormat="1" x14ac:dyDescent="0.25">
      <c r="A169" s="2" t="s">
        <v>320</v>
      </c>
      <c r="B169" s="4">
        <v>1.08</v>
      </c>
    </row>
    <row r="170" spans="1:2" s="1" customFormat="1" x14ac:dyDescent="0.25">
      <c r="A170" s="2" t="s">
        <v>321</v>
      </c>
      <c r="B170" s="4">
        <v>1.08</v>
      </c>
    </row>
    <row r="171" spans="1:2" s="1" customFormat="1" x14ac:dyDescent="0.25">
      <c r="A171" s="2" t="s">
        <v>322</v>
      </c>
      <c r="B171" s="4">
        <v>1.08</v>
      </c>
    </row>
    <row r="172" spans="1:2" s="1" customFormat="1" x14ac:dyDescent="0.25">
      <c r="A172" s="2" t="s">
        <v>74</v>
      </c>
      <c r="B172" s="4">
        <v>1.08</v>
      </c>
    </row>
    <row r="173" spans="1:2" s="1" customFormat="1" x14ac:dyDescent="0.25">
      <c r="A173" s="2" t="s">
        <v>95</v>
      </c>
      <c r="B173" s="4">
        <v>1.08</v>
      </c>
    </row>
    <row r="174" spans="1:2" s="1" customFormat="1" x14ac:dyDescent="0.25">
      <c r="A174" s="2" t="s">
        <v>323</v>
      </c>
      <c r="B174" s="4">
        <v>1.08</v>
      </c>
    </row>
    <row r="175" spans="1:2" s="1" customFormat="1" x14ac:dyDescent="0.25">
      <c r="A175" s="2" t="s">
        <v>324</v>
      </c>
      <c r="B175" s="4">
        <v>1.08</v>
      </c>
    </row>
    <row r="176" spans="1:2" s="1" customFormat="1" x14ac:dyDescent="0.25">
      <c r="A176" s="2" t="s">
        <v>325</v>
      </c>
      <c r="B176" s="4">
        <v>1.08</v>
      </c>
    </row>
    <row r="177" spans="1:2" s="1" customFormat="1" x14ac:dyDescent="0.25">
      <c r="A177" s="2" t="s">
        <v>326</v>
      </c>
      <c r="B177" s="4">
        <v>1.08</v>
      </c>
    </row>
    <row r="178" spans="1:2" s="1" customFormat="1" x14ac:dyDescent="0.25">
      <c r="A178" s="2" t="s">
        <v>327</v>
      </c>
      <c r="B178" s="4">
        <v>1.08</v>
      </c>
    </row>
    <row r="179" spans="1:2" s="1" customFormat="1" x14ac:dyDescent="0.25">
      <c r="A179" s="2" t="s">
        <v>328</v>
      </c>
      <c r="B179" s="4">
        <v>1.08</v>
      </c>
    </row>
    <row r="180" spans="1:2" s="1" customFormat="1" x14ac:dyDescent="0.25">
      <c r="A180" s="2" t="s">
        <v>329</v>
      </c>
      <c r="B180" s="4">
        <v>1.08</v>
      </c>
    </row>
    <row r="181" spans="1:2" s="1" customFormat="1" x14ac:dyDescent="0.25">
      <c r="A181" s="2" t="s">
        <v>330</v>
      </c>
      <c r="B181" s="4">
        <v>1.08</v>
      </c>
    </row>
    <row r="182" spans="1:2" s="1" customFormat="1" x14ac:dyDescent="0.25">
      <c r="A182" s="2" t="s">
        <v>121</v>
      </c>
      <c r="B182" s="4">
        <v>1.08</v>
      </c>
    </row>
    <row r="183" spans="1:2" s="1" customFormat="1" x14ac:dyDescent="0.25">
      <c r="A183" s="2" t="s">
        <v>120</v>
      </c>
      <c r="B183" s="4">
        <v>1.08</v>
      </c>
    </row>
    <row r="184" spans="1:2" s="1" customFormat="1" x14ac:dyDescent="0.25">
      <c r="A184" s="2" t="s">
        <v>331</v>
      </c>
      <c r="B184" s="4">
        <v>1.08</v>
      </c>
    </row>
    <row r="185" spans="1:2" s="1" customFormat="1" x14ac:dyDescent="0.25">
      <c r="A185" s="2" t="s">
        <v>332</v>
      </c>
      <c r="B185" s="4">
        <v>1.08</v>
      </c>
    </row>
    <row r="186" spans="1:2" s="1" customFormat="1" x14ac:dyDescent="0.25">
      <c r="A186" s="2" t="s">
        <v>333</v>
      </c>
      <c r="B186" s="4">
        <v>1.08</v>
      </c>
    </row>
    <row r="187" spans="1:2" s="1" customFormat="1" x14ac:dyDescent="0.25">
      <c r="A187" s="2" t="s">
        <v>334</v>
      </c>
      <c r="B187" s="4">
        <v>1.08</v>
      </c>
    </row>
    <row r="188" spans="1:2" s="1" customFormat="1" x14ac:dyDescent="0.25">
      <c r="A188" s="2" t="s">
        <v>335</v>
      </c>
      <c r="B188" s="4">
        <v>1.08</v>
      </c>
    </row>
    <row r="189" spans="1:2" s="1" customFormat="1" x14ac:dyDescent="0.25">
      <c r="A189" s="2" t="s">
        <v>154</v>
      </c>
      <c r="B189" s="4">
        <v>1.08</v>
      </c>
    </row>
    <row r="190" spans="1:2" s="1" customFormat="1" x14ac:dyDescent="0.25">
      <c r="A190" s="2" t="s">
        <v>336</v>
      </c>
      <c r="B190" s="4">
        <v>1.08</v>
      </c>
    </row>
    <row r="191" spans="1:2" s="1" customFormat="1" x14ac:dyDescent="0.25">
      <c r="A191" s="2" t="s">
        <v>337</v>
      </c>
      <c r="B191" s="4">
        <v>1.08</v>
      </c>
    </row>
    <row r="192" spans="1:2" s="1" customFormat="1" x14ac:dyDescent="0.25">
      <c r="A192" s="2" t="s">
        <v>338</v>
      </c>
      <c r="B192" s="4">
        <v>1.08</v>
      </c>
    </row>
    <row r="193" spans="1:2" s="1" customFormat="1" x14ac:dyDescent="0.25">
      <c r="A193" s="2" t="s">
        <v>339</v>
      </c>
      <c r="B193" s="4">
        <v>1.08</v>
      </c>
    </row>
    <row r="194" spans="1:2" s="1" customFormat="1" x14ac:dyDescent="0.25">
      <c r="A194" s="2" t="s">
        <v>340</v>
      </c>
      <c r="B194" s="4">
        <v>1.08</v>
      </c>
    </row>
    <row r="195" spans="1:2" s="1" customFormat="1" x14ac:dyDescent="0.25">
      <c r="A195" s="2" t="s">
        <v>341</v>
      </c>
      <c r="B195" s="4">
        <v>1.08</v>
      </c>
    </row>
    <row r="196" spans="1:2" s="1" customFormat="1" x14ac:dyDescent="0.25">
      <c r="A196" s="2" t="s">
        <v>342</v>
      </c>
      <c r="B196" s="4">
        <v>1.08</v>
      </c>
    </row>
    <row r="197" spans="1:2" s="1" customFormat="1" x14ac:dyDescent="0.25">
      <c r="A197" s="2" t="s">
        <v>89</v>
      </c>
      <c r="B197" s="4">
        <v>1.08</v>
      </c>
    </row>
    <row r="198" spans="1:2" s="1" customFormat="1" x14ac:dyDescent="0.25">
      <c r="A198" s="2" t="s">
        <v>343</v>
      </c>
      <c r="B198" s="4">
        <v>1.08</v>
      </c>
    </row>
    <row r="199" spans="1:2" s="1" customFormat="1" x14ac:dyDescent="0.25">
      <c r="A199" s="2" t="s">
        <v>344</v>
      </c>
      <c r="B199" s="4">
        <v>1.08</v>
      </c>
    </row>
    <row r="200" spans="1:2" s="1" customFormat="1" x14ac:dyDescent="0.25">
      <c r="A200" s="2" t="s">
        <v>345</v>
      </c>
      <c r="B200" s="4">
        <v>1.08</v>
      </c>
    </row>
    <row r="201" spans="1:2" s="1" customFormat="1" x14ac:dyDescent="0.25">
      <c r="A201" s="2" t="s">
        <v>346</v>
      </c>
      <c r="B201" s="4">
        <v>1.08</v>
      </c>
    </row>
    <row r="202" spans="1:2" s="1" customFormat="1" x14ac:dyDescent="0.25">
      <c r="A202" s="2" t="s">
        <v>347</v>
      </c>
      <c r="B202" s="4">
        <v>1.08</v>
      </c>
    </row>
    <row r="203" spans="1:2" s="1" customFormat="1" x14ac:dyDescent="0.25">
      <c r="A203" s="2" t="s">
        <v>348</v>
      </c>
      <c r="B203" s="4">
        <v>1.08</v>
      </c>
    </row>
    <row r="204" spans="1:2" s="1" customFormat="1" x14ac:dyDescent="0.25">
      <c r="A204" s="2" t="s">
        <v>349</v>
      </c>
      <c r="B204" s="4">
        <v>1.08</v>
      </c>
    </row>
    <row r="205" spans="1:2" s="1" customFormat="1" x14ac:dyDescent="0.25">
      <c r="A205" s="2" t="s">
        <v>350</v>
      </c>
      <c r="B205" s="4">
        <v>1.08</v>
      </c>
    </row>
    <row r="206" spans="1:2" s="1" customFormat="1" x14ac:dyDescent="0.25">
      <c r="A206" s="2" t="s">
        <v>351</v>
      </c>
      <c r="B206" s="4">
        <v>1.08</v>
      </c>
    </row>
    <row r="207" spans="1:2" s="1" customFormat="1" x14ac:dyDescent="0.25">
      <c r="A207" s="2" t="s">
        <v>352</v>
      </c>
      <c r="B207" s="4">
        <v>1.08</v>
      </c>
    </row>
    <row r="208" spans="1:2" s="1" customFormat="1" x14ac:dyDescent="0.25">
      <c r="A208" s="2" t="s">
        <v>353</v>
      </c>
      <c r="B208" s="4">
        <v>1.08</v>
      </c>
    </row>
    <row r="209" spans="1:2" s="1" customFormat="1" x14ac:dyDescent="0.25">
      <c r="A209" s="2" t="s">
        <v>354</v>
      </c>
      <c r="B209" s="4">
        <v>1.08</v>
      </c>
    </row>
    <row r="210" spans="1:2" s="1" customFormat="1" x14ac:dyDescent="0.25">
      <c r="A210" s="2" t="s">
        <v>355</v>
      </c>
      <c r="B210" s="4">
        <v>1.08</v>
      </c>
    </row>
    <row r="211" spans="1:2" s="1" customFormat="1" x14ac:dyDescent="0.25">
      <c r="A211" s="2" t="s">
        <v>356</v>
      </c>
      <c r="B211" s="4">
        <v>1.08</v>
      </c>
    </row>
    <row r="212" spans="1:2" s="1" customFormat="1" x14ac:dyDescent="0.25">
      <c r="A212" s="2" t="s">
        <v>357</v>
      </c>
      <c r="B212" s="4">
        <v>1.08</v>
      </c>
    </row>
    <row r="213" spans="1:2" s="1" customFormat="1" x14ac:dyDescent="0.25">
      <c r="A213" s="2" t="s">
        <v>119</v>
      </c>
      <c r="B213" s="4">
        <v>1.08</v>
      </c>
    </row>
    <row r="214" spans="1:2" s="1" customFormat="1" x14ac:dyDescent="0.25">
      <c r="A214" s="2" t="s">
        <v>118</v>
      </c>
      <c r="B214" s="4">
        <v>1.08</v>
      </c>
    </row>
    <row r="215" spans="1:2" s="1" customFormat="1" x14ac:dyDescent="0.25">
      <c r="A215" s="2" t="s">
        <v>358</v>
      </c>
      <c r="B215" s="4">
        <v>1.08</v>
      </c>
    </row>
    <row r="216" spans="1:2" s="1" customFormat="1" x14ac:dyDescent="0.25">
      <c r="A216" s="2" t="s">
        <v>359</v>
      </c>
      <c r="B216" s="4">
        <v>1.08</v>
      </c>
    </row>
    <row r="217" spans="1:2" s="1" customFormat="1" x14ac:dyDescent="0.25">
      <c r="A217" s="2" t="s">
        <v>360</v>
      </c>
      <c r="B217" s="4">
        <v>1.08</v>
      </c>
    </row>
    <row r="218" spans="1:2" s="1" customFormat="1" x14ac:dyDescent="0.25">
      <c r="A218" s="2" t="s">
        <v>361</v>
      </c>
      <c r="B218" s="4">
        <v>1.08</v>
      </c>
    </row>
    <row r="219" spans="1:2" s="1" customFormat="1" x14ac:dyDescent="0.25">
      <c r="A219" s="2" t="s">
        <v>156</v>
      </c>
      <c r="B219" s="4">
        <v>1.08</v>
      </c>
    </row>
    <row r="220" spans="1:2" s="1" customFormat="1" x14ac:dyDescent="0.25">
      <c r="A220" s="2" t="s">
        <v>80</v>
      </c>
      <c r="B220" s="4">
        <v>1.08</v>
      </c>
    </row>
    <row r="221" spans="1:2" s="1" customFormat="1" x14ac:dyDescent="0.25">
      <c r="A221" s="2" t="s">
        <v>362</v>
      </c>
      <c r="B221" s="4">
        <v>1.08</v>
      </c>
    </row>
    <row r="222" spans="1:2" s="1" customFormat="1" x14ac:dyDescent="0.25">
      <c r="A222" s="2" t="s">
        <v>363</v>
      </c>
      <c r="B222" s="4">
        <v>1.08</v>
      </c>
    </row>
    <row r="223" spans="1:2" s="1" customFormat="1" x14ac:dyDescent="0.25">
      <c r="A223" s="2" t="s">
        <v>364</v>
      </c>
      <c r="B223" s="4">
        <v>1.08</v>
      </c>
    </row>
    <row r="224" spans="1:2" s="1" customFormat="1" x14ac:dyDescent="0.25">
      <c r="A224" s="2" t="s">
        <v>365</v>
      </c>
      <c r="B224" s="4">
        <v>1.08</v>
      </c>
    </row>
    <row r="225" spans="1:2" s="1" customFormat="1" x14ac:dyDescent="0.25">
      <c r="A225" s="2" t="s">
        <v>366</v>
      </c>
      <c r="B225" s="4">
        <v>1.08</v>
      </c>
    </row>
    <row r="226" spans="1:2" s="1" customFormat="1" x14ac:dyDescent="0.25">
      <c r="A226" s="2" t="s">
        <v>367</v>
      </c>
      <c r="B226" s="4">
        <v>1.08</v>
      </c>
    </row>
    <row r="227" spans="1:2" s="1" customFormat="1" x14ac:dyDescent="0.25">
      <c r="A227" s="2" t="s">
        <v>368</v>
      </c>
      <c r="B227" s="4">
        <v>1.08</v>
      </c>
    </row>
    <row r="228" spans="1:2" s="1" customFormat="1" x14ac:dyDescent="0.25">
      <c r="A228" s="2" t="s">
        <v>117</v>
      </c>
      <c r="B228" s="4">
        <v>1.08</v>
      </c>
    </row>
    <row r="229" spans="1:2" s="1" customFormat="1" x14ac:dyDescent="0.25">
      <c r="A229" s="2" t="s">
        <v>369</v>
      </c>
      <c r="B229" s="4">
        <v>1.08</v>
      </c>
    </row>
    <row r="230" spans="1:2" s="1" customFormat="1" x14ac:dyDescent="0.25">
      <c r="A230" s="2" t="s">
        <v>370</v>
      </c>
      <c r="B230" s="4">
        <v>1.08</v>
      </c>
    </row>
    <row r="231" spans="1:2" s="1" customFormat="1" x14ac:dyDescent="0.25">
      <c r="A231" s="2" t="s">
        <v>371</v>
      </c>
      <c r="B231" s="4">
        <v>1.08</v>
      </c>
    </row>
    <row r="232" spans="1:2" s="1" customFormat="1" x14ac:dyDescent="0.25">
      <c r="A232" s="2" t="s">
        <v>372</v>
      </c>
      <c r="B232" s="4">
        <v>1.08</v>
      </c>
    </row>
    <row r="233" spans="1:2" s="1" customFormat="1" x14ac:dyDescent="0.25">
      <c r="A233" s="2" t="s">
        <v>61</v>
      </c>
      <c r="B233" s="4">
        <v>1.08</v>
      </c>
    </row>
    <row r="234" spans="1:2" s="1" customFormat="1" x14ac:dyDescent="0.25">
      <c r="A234" s="2" t="s">
        <v>373</v>
      </c>
      <c r="B234" s="4">
        <v>1.08</v>
      </c>
    </row>
    <row r="235" spans="1:2" s="1" customFormat="1" x14ac:dyDescent="0.25">
      <c r="A235" s="2" t="s">
        <v>374</v>
      </c>
      <c r="B235" s="4">
        <v>1.08</v>
      </c>
    </row>
    <row r="236" spans="1:2" s="1" customFormat="1" x14ac:dyDescent="0.25">
      <c r="A236" s="2" t="s">
        <v>375</v>
      </c>
      <c r="B236" s="4">
        <v>1.08</v>
      </c>
    </row>
    <row r="237" spans="1:2" s="1" customFormat="1" x14ac:dyDescent="0.25">
      <c r="A237" s="2" t="s">
        <v>376</v>
      </c>
      <c r="B237" s="4">
        <v>1.08</v>
      </c>
    </row>
    <row r="238" spans="1:2" s="1" customFormat="1" x14ac:dyDescent="0.25">
      <c r="A238" s="2" t="s">
        <v>377</v>
      </c>
      <c r="B238" s="4">
        <v>1.08</v>
      </c>
    </row>
    <row r="239" spans="1:2" s="1" customFormat="1" x14ac:dyDescent="0.25">
      <c r="A239" s="2" t="s">
        <v>378</v>
      </c>
      <c r="B239" s="4">
        <v>1.08</v>
      </c>
    </row>
    <row r="240" spans="1:2" s="1" customFormat="1" x14ac:dyDescent="0.25">
      <c r="A240" s="2" t="s">
        <v>379</v>
      </c>
      <c r="B240" s="4">
        <v>1.08</v>
      </c>
    </row>
    <row r="241" spans="1:2" s="1" customFormat="1" x14ac:dyDescent="0.25">
      <c r="A241" s="2" t="s">
        <v>380</v>
      </c>
      <c r="B241" s="4">
        <v>1.08</v>
      </c>
    </row>
    <row r="242" spans="1:2" s="1" customFormat="1" x14ac:dyDescent="0.25">
      <c r="A242" s="2" t="s">
        <v>381</v>
      </c>
      <c r="B242" s="4">
        <v>1.08</v>
      </c>
    </row>
    <row r="243" spans="1:2" s="1" customFormat="1" x14ac:dyDescent="0.25">
      <c r="A243" s="2" t="s">
        <v>382</v>
      </c>
      <c r="B243" s="4">
        <v>1.08</v>
      </c>
    </row>
    <row r="244" spans="1:2" s="1" customFormat="1" x14ac:dyDescent="0.25">
      <c r="A244" s="2" t="s">
        <v>116</v>
      </c>
      <c r="B244" s="4">
        <v>1.08</v>
      </c>
    </row>
    <row r="245" spans="1:2" s="1" customFormat="1" x14ac:dyDescent="0.25">
      <c r="A245" s="2" t="s">
        <v>115</v>
      </c>
      <c r="B245" s="4">
        <v>1.08</v>
      </c>
    </row>
    <row r="246" spans="1:2" s="1" customFormat="1" x14ac:dyDescent="0.25">
      <c r="A246" s="2" t="s">
        <v>141</v>
      </c>
      <c r="B246" s="4">
        <v>1.08</v>
      </c>
    </row>
    <row r="247" spans="1:2" s="1" customFormat="1" x14ac:dyDescent="0.25">
      <c r="A247" s="2" t="s">
        <v>383</v>
      </c>
      <c r="B247" s="4">
        <v>1.08</v>
      </c>
    </row>
    <row r="248" spans="1:2" s="1" customFormat="1" x14ac:dyDescent="0.25">
      <c r="A248" s="2" t="s">
        <v>384</v>
      </c>
      <c r="B248" s="4">
        <v>1.08</v>
      </c>
    </row>
    <row r="249" spans="1:2" s="1" customFormat="1" x14ac:dyDescent="0.25">
      <c r="A249" s="2" t="s">
        <v>158</v>
      </c>
      <c r="B249" s="4">
        <v>1.08</v>
      </c>
    </row>
    <row r="250" spans="1:2" s="1" customFormat="1" x14ac:dyDescent="0.25">
      <c r="A250" s="2" t="s">
        <v>385</v>
      </c>
      <c r="B250" s="4">
        <v>1.08</v>
      </c>
    </row>
    <row r="251" spans="1:2" s="1" customFormat="1" x14ac:dyDescent="0.25">
      <c r="A251" s="2" t="s">
        <v>386</v>
      </c>
      <c r="B251" s="4">
        <v>1.08</v>
      </c>
    </row>
    <row r="252" spans="1:2" s="1" customFormat="1" x14ac:dyDescent="0.25">
      <c r="A252" s="2" t="s">
        <v>387</v>
      </c>
      <c r="B252" s="4">
        <v>1.08</v>
      </c>
    </row>
    <row r="253" spans="1:2" s="1" customFormat="1" x14ac:dyDescent="0.25">
      <c r="A253" s="2" t="s">
        <v>388</v>
      </c>
      <c r="B253" s="4">
        <v>1.08</v>
      </c>
    </row>
    <row r="254" spans="1:2" s="1" customFormat="1" x14ac:dyDescent="0.25">
      <c r="A254" s="2" t="s">
        <v>389</v>
      </c>
      <c r="B254" s="4">
        <v>1.08</v>
      </c>
    </row>
    <row r="255" spans="1:2" s="1" customFormat="1" x14ac:dyDescent="0.25">
      <c r="A255" s="2" t="s">
        <v>88</v>
      </c>
      <c r="B255" s="4">
        <v>1.08</v>
      </c>
    </row>
    <row r="256" spans="1:2" s="1" customFormat="1" x14ac:dyDescent="0.25">
      <c r="A256" s="2" t="s">
        <v>86</v>
      </c>
      <c r="B256" s="4">
        <v>1.08</v>
      </c>
    </row>
    <row r="257" spans="1:2" s="1" customFormat="1" x14ac:dyDescent="0.25">
      <c r="A257" s="2" t="s">
        <v>390</v>
      </c>
      <c r="B257" s="4">
        <v>1.08</v>
      </c>
    </row>
    <row r="258" spans="1:2" s="1" customFormat="1" x14ac:dyDescent="0.25">
      <c r="A258" s="2" t="s">
        <v>391</v>
      </c>
      <c r="B258" s="4">
        <v>1.08</v>
      </c>
    </row>
    <row r="259" spans="1:2" s="1" customFormat="1" x14ac:dyDescent="0.25">
      <c r="A259" s="2" t="s">
        <v>77</v>
      </c>
      <c r="B259" s="4">
        <v>1.08</v>
      </c>
    </row>
    <row r="260" spans="1:2" s="1" customFormat="1" x14ac:dyDescent="0.25">
      <c r="A260" s="2" t="s">
        <v>392</v>
      </c>
      <c r="B260" s="4">
        <v>1.08</v>
      </c>
    </row>
    <row r="261" spans="1:2" s="1" customFormat="1" x14ac:dyDescent="0.25">
      <c r="A261" s="2" t="s">
        <v>393</v>
      </c>
      <c r="B261" s="4">
        <v>1.08</v>
      </c>
    </row>
    <row r="262" spans="1:2" s="1" customFormat="1" x14ac:dyDescent="0.25">
      <c r="A262" s="2" t="s">
        <v>394</v>
      </c>
      <c r="B262" s="4">
        <v>1.08</v>
      </c>
    </row>
    <row r="263" spans="1:2" s="1" customFormat="1" x14ac:dyDescent="0.25">
      <c r="A263" s="2" t="s">
        <v>395</v>
      </c>
      <c r="B263" s="4">
        <v>1.08</v>
      </c>
    </row>
    <row r="264" spans="1:2" s="1" customFormat="1" x14ac:dyDescent="0.25">
      <c r="A264" s="2" t="s">
        <v>396</v>
      </c>
      <c r="B264" s="4">
        <v>1.08</v>
      </c>
    </row>
    <row r="265" spans="1:2" s="1" customFormat="1" x14ac:dyDescent="0.25">
      <c r="A265" s="2" t="s">
        <v>397</v>
      </c>
      <c r="B265" s="4">
        <v>1.08</v>
      </c>
    </row>
    <row r="266" spans="1:2" s="1" customFormat="1" x14ac:dyDescent="0.25">
      <c r="A266" s="2" t="s">
        <v>398</v>
      </c>
      <c r="B266" s="4">
        <v>1.08</v>
      </c>
    </row>
    <row r="267" spans="1:2" s="1" customFormat="1" x14ac:dyDescent="0.25">
      <c r="A267" s="2" t="s">
        <v>399</v>
      </c>
      <c r="B267" s="4">
        <v>1.08</v>
      </c>
    </row>
    <row r="268" spans="1:2" s="1" customFormat="1" x14ac:dyDescent="0.25">
      <c r="A268" s="2" t="s">
        <v>400</v>
      </c>
      <c r="B268" s="4">
        <v>1.08</v>
      </c>
    </row>
    <row r="269" spans="1:2" s="1" customFormat="1" x14ac:dyDescent="0.25">
      <c r="A269" s="2" t="s">
        <v>401</v>
      </c>
      <c r="B269" s="4">
        <v>1.08</v>
      </c>
    </row>
    <row r="270" spans="1:2" s="1" customFormat="1" x14ac:dyDescent="0.25">
      <c r="A270" s="2" t="s">
        <v>402</v>
      </c>
      <c r="B270" s="4">
        <v>1.08</v>
      </c>
    </row>
    <row r="271" spans="1:2" s="1" customFormat="1" x14ac:dyDescent="0.25">
      <c r="A271" s="2" t="s">
        <v>403</v>
      </c>
      <c r="B271" s="4">
        <v>1.08</v>
      </c>
    </row>
    <row r="272" spans="1:2" s="1" customFormat="1" x14ac:dyDescent="0.25">
      <c r="A272" s="2" t="s">
        <v>404</v>
      </c>
      <c r="B272" s="4">
        <v>1.08</v>
      </c>
    </row>
    <row r="273" spans="1:2" s="1" customFormat="1" x14ac:dyDescent="0.25">
      <c r="A273" s="2" t="s">
        <v>405</v>
      </c>
      <c r="B273" s="4">
        <v>1.08</v>
      </c>
    </row>
    <row r="274" spans="1:2" s="1" customFormat="1" x14ac:dyDescent="0.25">
      <c r="A274" s="2" t="s">
        <v>114</v>
      </c>
      <c r="B274" s="4">
        <v>1.08</v>
      </c>
    </row>
    <row r="275" spans="1:2" s="1" customFormat="1" x14ac:dyDescent="0.25">
      <c r="A275" s="2" t="s">
        <v>113</v>
      </c>
      <c r="B275" s="4">
        <v>1.08</v>
      </c>
    </row>
    <row r="276" spans="1:2" s="1" customFormat="1" x14ac:dyDescent="0.25">
      <c r="A276" s="2" t="s">
        <v>406</v>
      </c>
      <c r="B276" s="4">
        <v>1.08</v>
      </c>
    </row>
    <row r="277" spans="1:2" s="1" customFormat="1" x14ac:dyDescent="0.25">
      <c r="A277" s="2" t="s">
        <v>407</v>
      </c>
      <c r="B277" s="4">
        <v>1.08</v>
      </c>
    </row>
    <row r="278" spans="1:2" s="1" customFormat="1" x14ac:dyDescent="0.25">
      <c r="A278" s="2" t="s">
        <v>408</v>
      </c>
      <c r="B278" s="4">
        <v>1.08</v>
      </c>
    </row>
    <row r="279" spans="1:2" s="1" customFormat="1" x14ac:dyDescent="0.25">
      <c r="A279" s="2" t="s">
        <v>409</v>
      </c>
      <c r="B279" s="4">
        <v>1.08</v>
      </c>
    </row>
    <row r="280" spans="1:2" s="1" customFormat="1" x14ac:dyDescent="0.25">
      <c r="A280" s="2" t="s">
        <v>410</v>
      </c>
      <c r="B280" s="4">
        <v>1.08</v>
      </c>
    </row>
    <row r="281" spans="1:2" s="1" customFormat="1" x14ac:dyDescent="0.25">
      <c r="A281" s="2" t="s">
        <v>160</v>
      </c>
      <c r="B281" s="4">
        <v>1.08</v>
      </c>
    </row>
    <row r="282" spans="1:2" s="1" customFormat="1" x14ac:dyDescent="0.25">
      <c r="A282" s="2" t="s">
        <v>62</v>
      </c>
      <c r="B282" s="4">
        <v>1.08</v>
      </c>
    </row>
    <row r="283" spans="1:2" s="1" customFormat="1" x14ac:dyDescent="0.25">
      <c r="A283" s="2" t="s">
        <v>411</v>
      </c>
      <c r="B283" s="4">
        <v>1.08</v>
      </c>
    </row>
    <row r="284" spans="1:2" s="1" customFormat="1" x14ac:dyDescent="0.25">
      <c r="A284" s="2" t="s">
        <v>412</v>
      </c>
      <c r="B284" s="4">
        <v>1.08</v>
      </c>
    </row>
    <row r="285" spans="1:2" s="1" customFormat="1" x14ac:dyDescent="0.25">
      <c r="A285" s="2" t="s">
        <v>413</v>
      </c>
      <c r="B285" s="4">
        <v>1.08</v>
      </c>
    </row>
    <row r="286" spans="1:2" s="1" customFormat="1" x14ac:dyDescent="0.25">
      <c r="A286" s="2" t="s">
        <v>414</v>
      </c>
      <c r="B286" s="4">
        <v>1.08</v>
      </c>
    </row>
    <row r="287" spans="1:2" s="1" customFormat="1" x14ac:dyDescent="0.25">
      <c r="A287" s="2" t="s">
        <v>415</v>
      </c>
      <c r="B287" s="4">
        <v>1.08</v>
      </c>
    </row>
    <row r="288" spans="1:2" s="1" customFormat="1" x14ac:dyDescent="0.25">
      <c r="A288" s="2" t="s">
        <v>416</v>
      </c>
      <c r="B288" s="4">
        <v>1.08</v>
      </c>
    </row>
    <row r="289" spans="1:2" s="1" customFormat="1" x14ac:dyDescent="0.25">
      <c r="A289" s="2" t="s">
        <v>112</v>
      </c>
      <c r="B289" s="4">
        <v>1.08</v>
      </c>
    </row>
    <row r="290" spans="1:2" s="1" customFormat="1" x14ac:dyDescent="0.25">
      <c r="A290" s="2" t="s">
        <v>417</v>
      </c>
      <c r="B290" s="4">
        <v>1.08</v>
      </c>
    </row>
    <row r="291" spans="1:2" s="1" customFormat="1" x14ac:dyDescent="0.25">
      <c r="A291" s="2" t="s">
        <v>418</v>
      </c>
      <c r="B291" s="4">
        <v>1.08</v>
      </c>
    </row>
    <row r="292" spans="1:2" s="1" customFormat="1" x14ac:dyDescent="0.25">
      <c r="A292" s="2" t="s">
        <v>419</v>
      </c>
      <c r="B292" s="4">
        <v>1.08</v>
      </c>
    </row>
    <row r="293" spans="1:2" s="1" customFormat="1" x14ac:dyDescent="0.25">
      <c r="A293" s="2" t="s">
        <v>420</v>
      </c>
      <c r="B293" s="4">
        <v>1.08</v>
      </c>
    </row>
    <row r="294" spans="1:2" s="1" customFormat="1" x14ac:dyDescent="0.25">
      <c r="A294" s="2" t="s">
        <v>421</v>
      </c>
      <c r="B294" s="4">
        <v>1.08</v>
      </c>
    </row>
    <row r="295" spans="1:2" s="1" customFormat="1" x14ac:dyDescent="0.25">
      <c r="A295" s="2" t="s">
        <v>422</v>
      </c>
      <c r="B295" s="4">
        <v>1.08</v>
      </c>
    </row>
    <row r="296" spans="1:2" s="1" customFormat="1" x14ac:dyDescent="0.25">
      <c r="A296" s="2" t="s">
        <v>83</v>
      </c>
      <c r="B296" s="4">
        <v>1.08</v>
      </c>
    </row>
    <row r="297" spans="1:2" s="1" customFormat="1" x14ac:dyDescent="0.25">
      <c r="A297" s="2" t="s">
        <v>423</v>
      </c>
      <c r="B297" s="4">
        <v>1.08</v>
      </c>
    </row>
    <row r="298" spans="1:2" s="1" customFormat="1" x14ac:dyDescent="0.25">
      <c r="A298" s="2" t="s">
        <v>424</v>
      </c>
      <c r="B298" s="4">
        <v>1.08</v>
      </c>
    </row>
    <row r="299" spans="1:2" s="1" customFormat="1" x14ac:dyDescent="0.25">
      <c r="A299" s="2" t="s">
        <v>425</v>
      </c>
      <c r="B299" s="4">
        <v>1.08</v>
      </c>
    </row>
    <row r="300" spans="1:2" s="1" customFormat="1" x14ac:dyDescent="0.25">
      <c r="A300" s="2" t="s">
        <v>426</v>
      </c>
      <c r="B300" s="4">
        <v>1.08</v>
      </c>
    </row>
    <row r="301" spans="1:2" s="1" customFormat="1" x14ac:dyDescent="0.25">
      <c r="A301" s="2" t="s">
        <v>427</v>
      </c>
      <c r="B301" s="4">
        <v>1.08</v>
      </c>
    </row>
    <row r="302" spans="1:2" s="1" customFormat="1" x14ac:dyDescent="0.25">
      <c r="A302" s="2" t="s">
        <v>428</v>
      </c>
      <c r="B302" s="4">
        <v>1.08</v>
      </c>
    </row>
    <row r="303" spans="1:2" s="1" customFormat="1" x14ac:dyDescent="0.25">
      <c r="A303" s="2" t="s">
        <v>429</v>
      </c>
      <c r="B303" s="4">
        <v>1.08</v>
      </c>
    </row>
    <row r="304" spans="1:2" s="1" customFormat="1" x14ac:dyDescent="0.25">
      <c r="A304" s="2" t="s">
        <v>430</v>
      </c>
      <c r="B304" s="4">
        <v>1.08</v>
      </c>
    </row>
    <row r="305" spans="1:2" s="1" customFormat="1" x14ac:dyDescent="0.25">
      <c r="A305" s="2" t="s">
        <v>111</v>
      </c>
      <c r="B305" s="4">
        <v>1.08</v>
      </c>
    </row>
    <row r="306" spans="1:2" s="1" customFormat="1" x14ac:dyDescent="0.25">
      <c r="A306" s="2" t="s">
        <v>110</v>
      </c>
      <c r="B306" s="4">
        <v>1.08</v>
      </c>
    </row>
    <row r="307" spans="1:2" s="1" customFormat="1" x14ac:dyDescent="0.25">
      <c r="A307" s="2" t="s">
        <v>431</v>
      </c>
      <c r="B307" s="4">
        <v>1.08</v>
      </c>
    </row>
    <row r="308" spans="1:2" s="1" customFormat="1" x14ac:dyDescent="0.25">
      <c r="A308" s="2" t="s">
        <v>142</v>
      </c>
      <c r="B308" s="4">
        <v>1.08</v>
      </c>
    </row>
    <row r="309" spans="1:2" s="1" customFormat="1" x14ac:dyDescent="0.25">
      <c r="A309" s="2" t="s">
        <v>432</v>
      </c>
      <c r="B309" s="4">
        <v>1.08</v>
      </c>
    </row>
    <row r="310" spans="1:2" s="1" customFormat="1" x14ac:dyDescent="0.25">
      <c r="A310" s="2" t="s">
        <v>433</v>
      </c>
      <c r="B310" s="4">
        <v>1.08</v>
      </c>
    </row>
    <row r="311" spans="1:2" s="1" customFormat="1" x14ac:dyDescent="0.25">
      <c r="A311" s="2" t="s">
        <v>81</v>
      </c>
      <c r="B311" s="4">
        <v>1.08</v>
      </c>
    </row>
    <row r="312" spans="1:2" s="1" customFormat="1" x14ac:dyDescent="0.25">
      <c r="A312" s="2" t="s">
        <v>434</v>
      </c>
      <c r="B312" s="4">
        <v>1.08</v>
      </c>
    </row>
    <row r="313" spans="1:2" s="1" customFormat="1" x14ac:dyDescent="0.25">
      <c r="A313" s="2" t="s">
        <v>435</v>
      </c>
      <c r="B313" s="4">
        <v>1.08</v>
      </c>
    </row>
    <row r="314" spans="1:2" s="1" customFormat="1" x14ac:dyDescent="0.25">
      <c r="A314" s="2" t="s">
        <v>436</v>
      </c>
      <c r="B314" s="4">
        <v>1.08</v>
      </c>
    </row>
    <row r="315" spans="1:2" s="1" customFormat="1" x14ac:dyDescent="0.25">
      <c r="A315" s="2" t="s">
        <v>437</v>
      </c>
      <c r="B315" s="4">
        <v>1.08</v>
      </c>
    </row>
    <row r="316" spans="1:2" s="1" customFormat="1" x14ac:dyDescent="0.25">
      <c r="A316" s="2" t="s">
        <v>438</v>
      </c>
      <c r="B316" s="4">
        <v>1.08</v>
      </c>
    </row>
    <row r="317" spans="1:2" s="1" customFormat="1" x14ac:dyDescent="0.25">
      <c r="A317" s="2" t="s">
        <v>65</v>
      </c>
      <c r="B317" s="4">
        <v>1.08</v>
      </c>
    </row>
    <row r="318" spans="1:2" s="1" customFormat="1" x14ac:dyDescent="0.25">
      <c r="A318" s="2" t="s">
        <v>439</v>
      </c>
      <c r="B318" s="4">
        <v>1.08</v>
      </c>
    </row>
    <row r="319" spans="1:2" s="1" customFormat="1" x14ac:dyDescent="0.25">
      <c r="A319" s="2" t="s">
        <v>440</v>
      </c>
      <c r="B319" s="4">
        <v>1.08</v>
      </c>
    </row>
    <row r="320" spans="1:2" s="1" customFormat="1" x14ac:dyDescent="0.25">
      <c r="A320" s="2" t="s">
        <v>109</v>
      </c>
      <c r="B320" s="4">
        <v>1.08</v>
      </c>
    </row>
    <row r="321" spans="1:2" s="1" customFormat="1" x14ac:dyDescent="0.25">
      <c r="A321" s="2" t="s">
        <v>441</v>
      </c>
      <c r="B321" s="4">
        <v>1.08</v>
      </c>
    </row>
    <row r="322" spans="1:2" s="1" customFormat="1" x14ac:dyDescent="0.25">
      <c r="A322" s="2" t="s">
        <v>442</v>
      </c>
      <c r="B322" s="4">
        <v>1.08</v>
      </c>
    </row>
    <row r="323" spans="1:2" s="1" customFormat="1" x14ac:dyDescent="0.25">
      <c r="A323" s="2" t="s">
        <v>443</v>
      </c>
      <c r="B323" s="4">
        <v>1.08</v>
      </c>
    </row>
    <row r="324" spans="1:2" s="1" customFormat="1" x14ac:dyDescent="0.25">
      <c r="A324" s="2" t="s">
        <v>444</v>
      </c>
      <c r="B324" s="4">
        <v>1.08</v>
      </c>
    </row>
    <row r="325" spans="1:2" s="1" customFormat="1" x14ac:dyDescent="0.25">
      <c r="A325" s="2" t="s">
        <v>445</v>
      </c>
      <c r="B325" s="4">
        <v>1.08</v>
      </c>
    </row>
    <row r="326" spans="1:2" s="1" customFormat="1" x14ac:dyDescent="0.25">
      <c r="A326" s="2" t="s">
        <v>446</v>
      </c>
      <c r="B326" s="4">
        <v>1.08</v>
      </c>
    </row>
    <row r="327" spans="1:2" s="1" customFormat="1" x14ac:dyDescent="0.25">
      <c r="A327" s="2" t="s">
        <v>447</v>
      </c>
      <c r="B327" s="4">
        <v>1.08</v>
      </c>
    </row>
    <row r="328" spans="1:2" s="1" customFormat="1" x14ac:dyDescent="0.25">
      <c r="A328" s="2" t="s">
        <v>448</v>
      </c>
      <c r="B328" s="4">
        <v>1.08</v>
      </c>
    </row>
    <row r="329" spans="1:2" s="1" customFormat="1" x14ac:dyDescent="0.25">
      <c r="A329" s="2" t="s">
        <v>449</v>
      </c>
      <c r="B329" s="4">
        <v>1.08</v>
      </c>
    </row>
    <row r="330" spans="1:2" s="1" customFormat="1" x14ac:dyDescent="0.25">
      <c r="A330" s="2" t="s">
        <v>450</v>
      </c>
      <c r="B330" s="4">
        <v>1.08</v>
      </c>
    </row>
    <row r="331" spans="1:2" s="1" customFormat="1" x14ac:dyDescent="0.25">
      <c r="A331" s="2" t="s">
        <v>451</v>
      </c>
      <c r="B331" s="4">
        <v>1.08</v>
      </c>
    </row>
    <row r="332" spans="1:2" s="1" customFormat="1" x14ac:dyDescent="0.25">
      <c r="A332" s="2" t="s">
        <v>452</v>
      </c>
      <c r="B332" s="4">
        <v>1.08</v>
      </c>
    </row>
    <row r="333" spans="1:2" s="1" customFormat="1" x14ac:dyDescent="0.25">
      <c r="A333" s="2" t="s">
        <v>453</v>
      </c>
      <c r="B333" s="4">
        <v>1.08</v>
      </c>
    </row>
    <row r="334" spans="1:2" s="1" customFormat="1" x14ac:dyDescent="0.25">
      <c r="A334" s="2" t="s">
        <v>454</v>
      </c>
      <c r="B334" s="4">
        <v>1.08</v>
      </c>
    </row>
    <row r="335" spans="1:2" s="1" customFormat="1" x14ac:dyDescent="0.25">
      <c r="A335" s="2" t="s">
        <v>108</v>
      </c>
      <c r="B335" s="4">
        <v>1.08</v>
      </c>
    </row>
    <row r="336" spans="1:2" s="1" customFormat="1" x14ac:dyDescent="0.25">
      <c r="A336" s="2" t="s">
        <v>107</v>
      </c>
      <c r="B336" s="4">
        <v>1.08</v>
      </c>
    </row>
    <row r="337" spans="1:2" s="1" customFormat="1" x14ac:dyDescent="0.25">
      <c r="A337" s="2" t="s">
        <v>455</v>
      </c>
      <c r="B337" s="4">
        <v>1.08</v>
      </c>
    </row>
    <row r="338" spans="1:2" s="1" customFormat="1" x14ac:dyDescent="0.25">
      <c r="A338" s="2" t="s">
        <v>456</v>
      </c>
      <c r="B338" s="4">
        <v>1.08</v>
      </c>
    </row>
    <row r="339" spans="1:2" s="1" customFormat="1" x14ac:dyDescent="0.25">
      <c r="A339" s="2" t="s">
        <v>457</v>
      </c>
      <c r="B339" s="4">
        <v>1.08</v>
      </c>
    </row>
    <row r="340" spans="1:2" s="1" customFormat="1" x14ac:dyDescent="0.25">
      <c r="A340" s="2" t="s">
        <v>163</v>
      </c>
      <c r="B340" s="4">
        <v>1.08</v>
      </c>
    </row>
    <row r="341" spans="1:2" s="1" customFormat="1" x14ac:dyDescent="0.25">
      <c r="A341" s="2" t="s">
        <v>458</v>
      </c>
      <c r="B341" s="4">
        <v>1.08</v>
      </c>
    </row>
    <row r="342" spans="1:2" s="1" customFormat="1" x14ac:dyDescent="0.25">
      <c r="A342" s="2" t="s">
        <v>459</v>
      </c>
      <c r="B342" s="4">
        <v>1.08</v>
      </c>
    </row>
    <row r="343" spans="1:2" s="1" customFormat="1" x14ac:dyDescent="0.25">
      <c r="A343" s="2" t="s">
        <v>460</v>
      </c>
      <c r="B343" s="4">
        <v>1.08</v>
      </c>
    </row>
    <row r="344" spans="1:2" s="1" customFormat="1" x14ac:dyDescent="0.25">
      <c r="A344" s="2" t="s">
        <v>461</v>
      </c>
      <c r="B344" s="4">
        <v>1.08</v>
      </c>
    </row>
    <row r="345" spans="1:2" s="1" customFormat="1" x14ac:dyDescent="0.25">
      <c r="A345" s="2" t="s">
        <v>462</v>
      </c>
      <c r="B345" s="4">
        <v>1.08</v>
      </c>
    </row>
    <row r="346" spans="1:2" s="1" customFormat="1" x14ac:dyDescent="0.25">
      <c r="A346" s="2" t="s">
        <v>463</v>
      </c>
      <c r="B346" s="4">
        <v>1.08</v>
      </c>
    </row>
    <row r="347" spans="1:2" s="1" customFormat="1" x14ac:dyDescent="0.25">
      <c r="A347" s="2" t="s">
        <v>464</v>
      </c>
      <c r="B347" s="4">
        <v>1.08</v>
      </c>
    </row>
    <row r="348" spans="1:2" s="1" customFormat="1" x14ac:dyDescent="0.25">
      <c r="A348" s="2" t="s">
        <v>465</v>
      </c>
      <c r="B348" s="4">
        <v>1.08</v>
      </c>
    </row>
    <row r="349" spans="1:2" s="1" customFormat="1" x14ac:dyDescent="0.25">
      <c r="A349" s="2" t="s">
        <v>466</v>
      </c>
      <c r="B349" s="4">
        <v>1.08</v>
      </c>
    </row>
    <row r="350" spans="1:2" s="1" customFormat="1" x14ac:dyDescent="0.25">
      <c r="A350" s="2" t="s">
        <v>78</v>
      </c>
      <c r="B350" s="4">
        <v>1.08</v>
      </c>
    </row>
    <row r="351" spans="1:2" s="1" customFormat="1" x14ac:dyDescent="0.25">
      <c r="A351" s="2" t="s">
        <v>467</v>
      </c>
      <c r="B351" s="4">
        <v>1.08</v>
      </c>
    </row>
    <row r="352" spans="1:2" s="1" customFormat="1" x14ac:dyDescent="0.25">
      <c r="A352" s="2" t="s">
        <v>468</v>
      </c>
      <c r="B352" s="4">
        <v>1.08</v>
      </c>
    </row>
    <row r="353" spans="1:2" s="1" customFormat="1" x14ac:dyDescent="0.25">
      <c r="A353" s="2" t="s">
        <v>469</v>
      </c>
      <c r="B353" s="4">
        <v>1.08</v>
      </c>
    </row>
    <row r="354" spans="1:2" s="1" customFormat="1" x14ac:dyDescent="0.25">
      <c r="A354" s="2" t="s">
        <v>470</v>
      </c>
      <c r="B354" s="4">
        <v>1.08</v>
      </c>
    </row>
    <row r="355" spans="1:2" s="1" customFormat="1" x14ac:dyDescent="0.25">
      <c r="A355" s="2" t="s">
        <v>471</v>
      </c>
      <c r="B355" s="4">
        <v>1.08</v>
      </c>
    </row>
    <row r="356" spans="1:2" s="1" customFormat="1" x14ac:dyDescent="0.25">
      <c r="A356" s="2" t="s">
        <v>472</v>
      </c>
      <c r="B356" s="4">
        <v>1.08</v>
      </c>
    </row>
    <row r="357" spans="1:2" s="1" customFormat="1" x14ac:dyDescent="0.25">
      <c r="A357" s="2" t="s">
        <v>473</v>
      </c>
      <c r="B357" s="4">
        <v>1.08</v>
      </c>
    </row>
    <row r="358" spans="1:2" s="1" customFormat="1" x14ac:dyDescent="0.25">
      <c r="A358" s="2" t="s">
        <v>474</v>
      </c>
      <c r="B358" s="4">
        <v>1.08</v>
      </c>
    </row>
    <row r="359" spans="1:2" s="1" customFormat="1" x14ac:dyDescent="0.25">
      <c r="A359" s="2" t="s">
        <v>475</v>
      </c>
      <c r="B359" s="4">
        <v>1.08</v>
      </c>
    </row>
    <row r="360" spans="1:2" s="1" customFormat="1" x14ac:dyDescent="0.25">
      <c r="A360" s="2" t="s">
        <v>476</v>
      </c>
      <c r="B360" s="4">
        <v>1.08</v>
      </c>
    </row>
    <row r="361" spans="1:2" s="1" customFormat="1" x14ac:dyDescent="0.25">
      <c r="A361" s="2" t="s">
        <v>477</v>
      </c>
      <c r="B361" s="4">
        <v>1.08</v>
      </c>
    </row>
    <row r="362" spans="1:2" s="1" customFormat="1" x14ac:dyDescent="0.25">
      <c r="A362" s="2" t="s">
        <v>478</v>
      </c>
      <c r="B362" s="4">
        <v>1.08</v>
      </c>
    </row>
    <row r="363" spans="1:2" s="1" customFormat="1" x14ac:dyDescent="0.25">
      <c r="A363" s="2" t="s">
        <v>106</v>
      </c>
      <c r="B363" s="4">
        <v>1.08</v>
      </c>
    </row>
    <row r="364" spans="1:2" s="1" customFormat="1" x14ac:dyDescent="0.25">
      <c r="A364" s="2" t="s">
        <v>105</v>
      </c>
      <c r="B364" s="4">
        <v>1.08</v>
      </c>
    </row>
    <row r="365" spans="1:2" s="1" customFormat="1" x14ac:dyDescent="0.25">
      <c r="A365" s="2" t="s">
        <v>104</v>
      </c>
      <c r="B365" s="4">
        <v>1.08</v>
      </c>
    </row>
    <row r="366" spans="1:2" s="1" customFormat="1" x14ac:dyDescent="0.25">
      <c r="A366" s="2" t="s">
        <v>101</v>
      </c>
      <c r="B366" s="4">
        <v>1.04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Притежания</vt:lpstr>
      <vt:lpstr>Продажби</vt:lpstr>
      <vt:lpstr>Дивиденти</vt:lpstr>
      <vt:lpstr>IB Stock Yield</vt:lpstr>
      <vt:lpstr>Revolut Лихви GBP</vt:lpstr>
      <vt:lpstr>Revolut Лихви EUR</vt:lpstr>
      <vt:lpstr>E TRADE Лихви USD</vt:lpstr>
      <vt:lpstr>IB Лихви USD</vt:lpstr>
      <vt:lpstr>СПБ-8 Сметки</vt:lpstr>
      <vt:lpstr>СПБ-8 Ценни Книжа</vt:lpstr>
      <vt:lpstr>GBP</vt:lpstr>
      <vt:lpstr>HKD</vt:lpstr>
      <vt:lpstr>USD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